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my4\Downloads\portfolio (5)\portfolio\docs\"/>
    </mc:Choice>
  </mc:AlternateContent>
  <xr:revisionPtr revIDLastSave="0" documentId="8_{9F44BD09-4DBC-46EA-B585-09C05B2271E6}" xr6:coauthVersionLast="47" xr6:coauthVersionMax="47" xr10:uidLastSave="{00000000-0000-0000-0000-000000000000}"/>
  <bookViews>
    <workbookView xWindow="-120" yWindow="-120" windowWidth="38640" windowHeight="15720" activeTab="1" xr2:uid="{2CFBD408-6ABD-43FB-BED6-00F3DC81F830}"/>
  </bookViews>
  <sheets>
    <sheet name="Personal Info" sheetId="2" r:id="rId1"/>
    <sheet name="Determinant" sheetId="1" r:id="rId2"/>
    <sheet name="Inverse" sheetId="3" r:id="rId3"/>
    <sheet name="Row operations" sheetId="4" r:id="rId4"/>
    <sheet name="LU Decomposition(Dolittle)" sheetId="5" r:id="rId5"/>
    <sheet name="LU Decomposition(Crout)" sheetId="6" r:id="rId6"/>
    <sheet name="Iterative Approaches" sheetId="8" r:id="rId7"/>
    <sheet name="Solvable|Insolvable" sheetId="9" r:id="rId8"/>
    <sheet name="Large Power Matrices" sheetId="10" r:id="rId9"/>
  </sheets>
  <definedNames>
    <definedName name="_xleta.ABS" hidden="1" xlm="1">#NAME?</definedName>
    <definedName name="_xleta.AND" hidden="1" xlm="1">#NAME?</definedName>
    <definedName name="_xleta.IF" hidden="1" xlm="1">#NAME?</definedName>
    <definedName name="_xleta.MIN" hidden="1" xlm="1">#NAME?</definedName>
    <definedName name="_xleta.SUM" hidden="1" xlm="1">#NAME?</definedName>
    <definedName name="_xleta.TEXT" hidden="1" xlm="1">#NAME?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K24" i="1"/>
  <c r="N24" i="1"/>
  <c r="Q24" i="1"/>
  <c r="C30" i="1"/>
  <c r="V24" i="1"/>
  <c r="AM30" i="1"/>
  <c r="AL30" i="1"/>
  <c r="AK30" i="1"/>
  <c r="X25" i="1"/>
  <c r="AM29" i="1"/>
  <c r="AL29" i="1"/>
  <c r="AK29" i="1"/>
  <c r="AM28" i="1"/>
  <c r="AL28" i="1"/>
  <c r="AK28" i="1"/>
  <c r="AH30" i="1"/>
  <c r="AG30" i="1"/>
  <c r="AF30" i="1"/>
  <c r="AH29" i="1"/>
  <c r="AG29" i="1"/>
  <c r="AF29" i="1"/>
  <c r="AH28" i="1"/>
  <c r="AG28" i="1"/>
  <c r="AF28" i="1"/>
  <c r="AC30" i="1"/>
  <c r="AB30" i="1"/>
  <c r="AA30" i="1"/>
  <c r="AC29" i="1"/>
  <c r="AB29" i="1"/>
  <c r="AA29" i="1"/>
  <c r="AC28" i="1"/>
  <c r="AB28" i="1"/>
  <c r="AA28" i="1"/>
  <c r="AA31" i="1"/>
  <c r="AA32" i="1"/>
  <c r="AF31" i="1"/>
  <c r="AF32" i="1"/>
  <c r="AK31" i="1"/>
  <c r="AK32" i="1"/>
  <c r="V28" i="1"/>
  <c r="W29" i="1"/>
  <c r="X30" i="1"/>
  <c r="V29" i="1"/>
  <c r="W30" i="1"/>
  <c r="X28" i="1"/>
  <c r="V30" i="1"/>
  <c r="W28" i="1"/>
  <c r="X29" i="1"/>
  <c r="V31" i="1"/>
  <c r="V32" i="1"/>
  <c r="AB23" i="1"/>
  <c r="D37" i="3"/>
  <c r="S49" i="3"/>
  <c r="C35" i="3"/>
  <c r="R48" i="3"/>
  <c r="E38" i="3"/>
  <c r="T50" i="3"/>
  <c r="C37" i="3"/>
  <c r="R49" i="3"/>
  <c r="D38" i="3"/>
  <c r="S50" i="3"/>
  <c r="E35" i="3"/>
  <c r="T48" i="3"/>
  <c r="C38" i="3"/>
  <c r="R50" i="3"/>
  <c r="D35" i="3"/>
  <c r="S48" i="3"/>
  <c r="E37" i="3"/>
  <c r="T49" i="3"/>
  <c r="R52" i="3"/>
  <c r="R53" i="3"/>
  <c r="G72" i="3"/>
  <c r="E79" i="3"/>
  <c r="C42" i="3"/>
  <c r="D36" i="3"/>
  <c r="C41" i="3"/>
  <c r="D42" i="3"/>
  <c r="F38" i="3"/>
  <c r="E43" i="3"/>
  <c r="D43" i="3"/>
  <c r="F36" i="3"/>
  <c r="E41" i="3"/>
  <c r="C43" i="3"/>
  <c r="E36" i="3"/>
  <c r="D41" i="3"/>
  <c r="F37" i="3"/>
  <c r="E42" i="3"/>
  <c r="C45" i="3"/>
  <c r="C46" i="3"/>
  <c r="D71" i="3"/>
  <c r="N42" i="3"/>
  <c r="C36" i="3"/>
  <c r="M41" i="3"/>
  <c r="O43" i="3"/>
  <c r="M42" i="3"/>
  <c r="N43" i="3"/>
  <c r="O41" i="3"/>
  <c r="M43" i="3"/>
  <c r="N41" i="3"/>
  <c r="O42" i="3"/>
  <c r="M45" i="3"/>
  <c r="M46" i="3"/>
  <c r="F71" i="3"/>
  <c r="S42" i="3"/>
  <c r="R41" i="3"/>
  <c r="T43" i="3"/>
  <c r="R42" i="3"/>
  <c r="S43" i="3"/>
  <c r="T41" i="3"/>
  <c r="R43" i="3"/>
  <c r="S41" i="3"/>
  <c r="T42" i="3"/>
  <c r="R45" i="3"/>
  <c r="R46" i="3"/>
  <c r="G71" i="3"/>
  <c r="H41" i="3"/>
  <c r="I42" i="3"/>
  <c r="J43" i="3"/>
  <c r="H42" i="3"/>
  <c r="I43" i="3"/>
  <c r="J41" i="3"/>
  <c r="H43" i="3"/>
  <c r="I41" i="3"/>
  <c r="J42" i="3"/>
  <c r="H45" i="3"/>
  <c r="H46" i="3"/>
  <c r="E71" i="3"/>
  <c r="F35" i="3"/>
  <c r="D81" i="3"/>
  <c r="E86" i="3"/>
  <c r="R55" i="3"/>
  <c r="S56" i="3"/>
  <c r="T57" i="3"/>
  <c r="R56" i="3"/>
  <c r="S57" i="3"/>
  <c r="T55" i="3"/>
  <c r="R57" i="3"/>
  <c r="S55" i="3"/>
  <c r="T56" i="3"/>
  <c r="R59" i="3"/>
  <c r="R60" i="3"/>
  <c r="G73" i="3"/>
  <c r="F79" i="3"/>
  <c r="F86" i="3"/>
  <c r="S64" i="3"/>
  <c r="R62" i="3"/>
  <c r="S63" i="3"/>
  <c r="T64" i="3"/>
  <c r="R63" i="3"/>
  <c r="T62" i="3"/>
  <c r="R64" i="3"/>
  <c r="S62" i="3"/>
  <c r="T63" i="3"/>
  <c r="R66" i="3"/>
  <c r="R67" i="3"/>
  <c r="G74" i="3"/>
  <c r="G79" i="3"/>
  <c r="G86" i="3"/>
  <c r="D79" i="3"/>
  <c r="D86" i="3"/>
  <c r="N49" i="3"/>
  <c r="M48" i="3"/>
  <c r="O50" i="3"/>
  <c r="M49" i="3"/>
  <c r="N50" i="3"/>
  <c r="O48" i="3"/>
  <c r="M50" i="3"/>
  <c r="N48" i="3"/>
  <c r="O49" i="3"/>
  <c r="M52" i="3"/>
  <c r="M53" i="3"/>
  <c r="F72" i="3"/>
  <c r="E78" i="3"/>
  <c r="E85" i="3"/>
  <c r="M55" i="3"/>
  <c r="N56" i="3"/>
  <c r="O57" i="3"/>
  <c r="M56" i="3"/>
  <c r="N57" i="3"/>
  <c r="O55" i="3"/>
  <c r="M57" i="3"/>
  <c r="N55" i="3"/>
  <c r="O56" i="3"/>
  <c r="M59" i="3"/>
  <c r="M60" i="3"/>
  <c r="F73" i="3"/>
  <c r="F78" i="3"/>
  <c r="F85" i="3"/>
  <c r="N64" i="3"/>
  <c r="M62" i="3"/>
  <c r="N63" i="3"/>
  <c r="O64" i="3"/>
  <c r="M63" i="3"/>
  <c r="O62" i="3"/>
  <c r="M64" i="3"/>
  <c r="N62" i="3"/>
  <c r="O63" i="3"/>
  <c r="M66" i="3"/>
  <c r="M67" i="3"/>
  <c r="F74" i="3"/>
  <c r="G78" i="3"/>
  <c r="G85" i="3"/>
  <c r="D78" i="3"/>
  <c r="D85" i="3"/>
  <c r="H48" i="3"/>
  <c r="I49" i="3"/>
  <c r="J50" i="3"/>
  <c r="H49" i="3"/>
  <c r="I50" i="3"/>
  <c r="J48" i="3"/>
  <c r="H50" i="3"/>
  <c r="I48" i="3"/>
  <c r="J49" i="3"/>
  <c r="H52" i="3"/>
  <c r="H53" i="3"/>
  <c r="E72" i="3"/>
  <c r="E77" i="3"/>
  <c r="E84" i="3"/>
  <c r="H55" i="3"/>
  <c r="I56" i="3"/>
  <c r="J57" i="3"/>
  <c r="H56" i="3"/>
  <c r="I57" i="3"/>
  <c r="J55" i="3"/>
  <c r="H57" i="3"/>
  <c r="I55" i="3"/>
  <c r="J56" i="3"/>
  <c r="H59" i="3"/>
  <c r="H60" i="3"/>
  <c r="E73" i="3"/>
  <c r="F77" i="3"/>
  <c r="F84" i="3"/>
  <c r="H62" i="3"/>
  <c r="I63" i="3"/>
  <c r="J64" i="3"/>
  <c r="H63" i="3"/>
  <c r="I64" i="3"/>
  <c r="J62" i="3"/>
  <c r="H64" i="3"/>
  <c r="I62" i="3"/>
  <c r="J63" i="3"/>
  <c r="H66" i="3"/>
  <c r="H67" i="3"/>
  <c r="E74" i="3"/>
  <c r="G77" i="3"/>
  <c r="G84" i="3"/>
  <c r="D77" i="3"/>
  <c r="D84" i="3"/>
  <c r="C49" i="3"/>
  <c r="C48" i="3"/>
  <c r="D49" i="3"/>
  <c r="E50" i="3"/>
  <c r="D50" i="3"/>
  <c r="E48" i="3"/>
  <c r="C50" i="3"/>
  <c r="D48" i="3"/>
  <c r="E49" i="3"/>
  <c r="C52" i="3"/>
  <c r="C53" i="3"/>
  <c r="D72" i="3"/>
  <c r="E76" i="3"/>
  <c r="E83" i="3"/>
  <c r="C55" i="3"/>
  <c r="D56" i="3"/>
  <c r="E57" i="3"/>
  <c r="C56" i="3"/>
  <c r="D57" i="3"/>
  <c r="E55" i="3"/>
  <c r="C57" i="3"/>
  <c r="D55" i="3"/>
  <c r="E56" i="3"/>
  <c r="C59" i="3"/>
  <c r="C60" i="3"/>
  <c r="D73" i="3"/>
  <c r="F76" i="3"/>
  <c r="F83" i="3"/>
  <c r="C64" i="3"/>
  <c r="C62" i="3"/>
  <c r="D63" i="3"/>
  <c r="E64" i="3"/>
  <c r="C63" i="3"/>
  <c r="D64" i="3"/>
  <c r="E62" i="3"/>
  <c r="D62" i="3"/>
  <c r="E63" i="3"/>
  <c r="C66" i="3"/>
  <c r="C67" i="3"/>
  <c r="D74" i="3"/>
  <c r="G76" i="3"/>
  <c r="G83" i="3"/>
  <c r="D76" i="3"/>
  <c r="D83" i="3"/>
  <c r="O13" i="6"/>
  <c r="O12" i="6"/>
  <c r="O11" i="6"/>
  <c r="O10" i="6"/>
  <c r="J91" i="6"/>
  <c r="J92" i="6"/>
  <c r="J93" i="6"/>
  <c r="J94" i="6"/>
  <c r="H91" i="6"/>
  <c r="H92" i="6"/>
  <c r="H93" i="6"/>
  <c r="H94" i="6"/>
  <c r="C91" i="6"/>
  <c r="D91" i="6"/>
  <c r="E91" i="6"/>
  <c r="F91" i="6"/>
  <c r="C92" i="6"/>
  <c r="D92" i="6"/>
  <c r="E92" i="6"/>
  <c r="F92" i="6"/>
  <c r="C93" i="6"/>
  <c r="D93" i="6"/>
  <c r="E93" i="6"/>
  <c r="F93" i="6"/>
  <c r="C94" i="6"/>
  <c r="D94" i="6"/>
  <c r="E94" i="6"/>
  <c r="F94" i="6"/>
  <c r="M13" i="6"/>
  <c r="M12" i="6"/>
  <c r="M11" i="6"/>
  <c r="M10" i="6"/>
  <c r="D9" i="6"/>
  <c r="H21" i="6"/>
  <c r="L32" i="6"/>
  <c r="J53" i="6"/>
  <c r="B21" i="6"/>
  <c r="U42" i="6"/>
  <c r="R52" i="6"/>
  <c r="B41" i="6"/>
  <c r="D53" i="6"/>
  <c r="G61" i="6"/>
  <c r="I73" i="6"/>
  <c r="C21" i="6"/>
  <c r="V42" i="6"/>
  <c r="U48" i="6"/>
  <c r="G41" i="6"/>
  <c r="D73" i="6"/>
  <c r="H22" i="6"/>
  <c r="L33" i="6"/>
  <c r="J54" i="6"/>
  <c r="B22" i="6"/>
  <c r="U43" i="6"/>
  <c r="R53" i="6"/>
  <c r="B42" i="6"/>
  <c r="D54" i="6"/>
  <c r="C22" i="6"/>
  <c r="V43" i="6"/>
  <c r="U53" i="6"/>
  <c r="C42" i="6"/>
  <c r="E54" i="6"/>
  <c r="G62" i="6"/>
  <c r="I74" i="6"/>
  <c r="D22" i="6"/>
  <c r="W43" i="6"/>
  <c r="D21" i="6"/>
  <c r="W42" i="6"/>
  <c r="X48" i="6"/>
  <c r="X49" i="6"/>
  <c r="H42" i="6"/>
  <c r="E74" i="6"/>
  <c r="H23" i="6"/>
  <c r="L34" i="6"/>
  <c r="J55" i="6"/>
  <c r="B23" i="6"/>
  <c r="U44" i="6"/>
  <c r="R54" i="6"/>
  <c r="B43" i="6"/>
  <c r="D55" i="6"/>
  <c r="C23" i="6"/>
  <c r="V44" i="6"/>
  <c r="U54" i="6"/>
  <c r="C43" i="6"/>
  <c r="E55" i="6"/>
  <c r="D23" i="6"/>
  <c r="W44" i="6"/>
  <c r="X54" i="6"/>
  <c r="D43" i="6"/>
  <c r="F55" i="6"/>
  <c r="G63" i="6"/>
  <c r="I75" i="6"/>
  <c r="H43" i="6"/>
  <c r="E75" i="6"/>
  <c r="F78" i="6"/>
  <c r="G42" i="6"/>
  <c r="D74" i="6"/>
  <c r="F79" i="6"/>
  <c r="H41" i="6"/>
  <c r="E73" i="6"/>
  <c r="R48" i="6"/>
  <c r="F41" i="6"/>
  <c r="C73" i="6"/>
  <c r="F80" i="6"/>
  <c r="F9" i="6"/>
  <c r="D10" i="6"/>
  <c r="F10" i="6"/>
  <c r="D11" i="6"/>
  <c r="F11" i="6"/>
  <c r="AA129" i="6"/>
  <c r="X129" i="6"/>
  <c r="X144" i="6"/>
  <c r="AA126" i="6"/>
  <c r="X126" i="6"/>
  <c r="X147" i="6"/>
  <c r="U144" i="6"/>
  <c r="Y129" i="6"/>
  <c r="Y126" i="6"/>
  <c r="U137" i="6"/>
  <c r="X140" i="6"/>
  <c r="AA127" i="6"/>
  <c r="X127" i="6"/>
  <c r="X146" i="6"/>
  <c r="Y127" i="6"/>
  <c r="X142" i="6"/>
  <c r="U145" i="6"/>
  <c r="Z129" i="6"/>
  <c r="Z126" i="6"/>
  <c r="U140" i="6"/>
  <c r="Z127" i="6"/>
  <c r="U141" i="6"/>
  <c r="X137" i="6"/>
  <c r="AA128" i="6"/>
  <c r="X128" i="6"/>
  <c r="X145" i="6"/>
  <c r="Y128" i="6"/>
  <c r="X141" i="6"/>
  <c r="Z128" i="6"/>
  <c r="X138" i="6"/>
  <c r="U146" i="6"/>
  <c r="X135" i="6"/>
  <c r="AF128" i="6"/>
  <c r="U147" i="6"/>
  <c r="U142" i="6"/>
  <c r="U138" i="6"/>
  <c r="U135" i="6"/>
  <c r="AE127" i="6"/>
  <c r="H160" i="6"/>
  <c r="H161" i="6"/>
  <c r="H162" i="6"/>
  <c r="O102" i="6"/>
  <c r="O114" i="6"/>
  <c r="M128" i="6"/>
  <c r="C114" i="6"/>
  <c r="F128" i="6"/>
  <c r="J137" i="6"/>
  <c r="K153" i="6"/>
  <c r="I114" i="6"/>
  <c r="E153" i="6"/>
  <c r="O103" i="6"/>
  <c r="O115" i="6"/>
  <c r="M129" i="6"/>
  <c r="C115" i="6"/>
  <c r="F129" i="6"/>
  <c r="D115" i="6"/>
  <c r="G129" i="6"/>
  <c r="J138" i="6"/>
  <c r="K154" i="6"/>
  <c r="J115" i="6"/>
  <c r="F154" i="6"/>
  <c r="O104" i="6"/>
  <c r="O116" i="6"/>
  <c r="M130" i="6"/>
  <c r="C116" i="6"/>
  <c r="F130" i="6"/>
  <c r="D116" i="6"/>
  <c r="G130" i="6"/>
  <c r="E116" i="6"/>
  <c r="H130" i="6"/>
  <c r="J139" i="6"/>
  <c r="K155" i="6"/>
  <c r="K116" i="6"/>
  <c r="G155" i="6"/>
  <c r="O105" i="6"/>
  <c r="O117" i="6"/>
  <c r="M131" i="6"/>
  <c r="C117" i="6"/>
  <c r="F131" i="6"/>
  <c r="D117" i="6"/>
  <c r="G131" i="6"/>
  <c r="E117" i="6"/>
  <c r="H131" i="6"/>
  <c r="F117" i="6"/>
  <c r="I131" i="6"/>
  <c r="J140" i="6"/>
  <c r="K156" i="6"/>
  <c r="K117" i="6"/>
  <c r="G156" i="6"/>
  <c r="G159" i="6"/>
  <c r="J116" i="6"/>
  <c r="F155" i="6"/>
  <c r="G160" i="6"/>
  <c r="K115" i="6"/>
  <c r="G154" i="6"/>
  <c r="I115" i="6"/>
  <c r="E154" i="6"/>
  <c r="G161" i="6"/>
  <c r="J114" i="6"/>
  <c r="F153" i="6"/>
  <c r="K114" i="6"/>
  <c r="G153" i="6"/>
  <c r="H114" i="6"/>
  <c r="D153" i="6"/>
  <c r="G162" i="6"/>
  <c r="M102" i="6"/>
  <c r="M114" i="6"/>
  <c r="I153" i="6"/>
  <c r="E162" i="6"/>
  <c r="M103" i="6"/>
  <c r="M115" i="6"/>
  <c r="I154" i="6"/>
  <c r="E161" i="6"/>
  <c r="M104" i="6"/>
  <c r="M116" i="6"/>
  <c r="I155" i="6"/>
  <c r="E160" i="6"/>
  <c r="M105" i="6"/>
  <c r="M117" i="6"/>
  <c r="I156" i="6"/>
  <c r="E159" i="6"/>
  <c r="J117" i="6"/>
  <c r="F156" i="6"/>
  <c r="I117" i="6"/>
  <c r="E156" i="6"/>
  <c r="H117" i="6"/>
  <c r="D156" i="6"/>
  <c r="I116" i="6"/>
  <c r="E155" i="6"/>
  <c r="H116" i="6"/>
  <c r="D155" i="6"/>
  <c r="H115" i="6"/>
  <c r="D154" i="6"/>
  <c r="F116" i="6"/>
  <c r="I130" i="6"/>
  <c r="AG129" i="6"/>
  <c r="AF129" i="6"/>
  <c r="AE129" i="6"/>
  <c r="AD129" i="6"/>
  <c r="F115" i="6"/>
  <c r="I129" i="6"/>
  <c r="E115" i="6"/>
  <c r="H129" i="6"/>
  <c r="AG128" i="6"/>
  <c r="AE128" i="6"/>
  <c r="AD128" i="6"/>
  <c r="F114" i="6"/>
  <c r="I128" i="6"/>
  <c r="E114" i="6"/>
  <c r="H128" i="6"/>
  <c r="D114" i="6"/>
  <c r="G128" i="6"/>
  <c r="AG127" i="6"/>
  <c r="AF127" i="6"/>
  <c r="AD127" i="6"/>
  <c r="AG126" i="6"/>
  <c r="AF126" i="6"/>
  <c r="AE126" i="6"/>
  <c r="AD126" i="6"/>
  <c r="AE94" i="6"/>
  <c r="AD94" i="6"/>
  <c r="AG93" i="6"/>
  <c r="AF93" i="6"/>
  <c r="AE93" i="6"/>
  <c r="AD93" i="6"/>
  <c r="H166" i="5"/>
  <c r="X131" i="5"/>
  <c r="X130" i="5"/>
  <c r="U139" i="5"/>
  <c r="X150" i="5"/>
  <c r="Y131" i="5"/>
  <c r="Y130" i="5"/>
  <c r="U141" i="5"/>
  <c r="U142" i="5"/>
  <c r="Y133" i="5"/>
  <c r="X133" i="5"/>
  <c r="X148" i="5"/>
  <c r="X144" i="5"/>
  <c r="D121" i="5"/>
  <c r="G135" i="5"/>
  <c r="C119" i="5"/>
  <c r="F133" i="5"/>
  <c r="O107" i="5"/>
  <c r="O119" i="5"/>
  <c r="M133" i="5"/>
  <c r="O106" i="5"/>
  <c r="O118" i="5"/>
  <c r="M132" i="5"/>
  <c r="X151" i="5"/>
  <c r="C118" i="5"/>
  <c r="F132" i="5"/>
  <c r="J141" i="5"/>
  <c r="X146" i="5"/>
  <c r="D119" i="5"/>
  <c r="G133" i="5"/>
  <c r="J142" i="5"/>
  <c r="Z131" i="5"/>
  <c r="Z130" i="5"/>
  <c r="U144" i="5"/>
  <c r="U145" i="5"/>
  <c r="Y132" i="5"/>
  <c r="X132" i="5"/>
  <c r="X149" i="5"/>
  <c r="X145" i="5"/>
  <c r="Z132" i="5"/>
  <c r="U146" i="5"/>
  <c r="Z133" i="5"/>
  <c r="X141" i="5"/>
  <c r="E121" i="5"/>
  <c r="H135" i="5"/>
  <c r="D120" i="5"/>
  <c r="G134" i="5"/>
  <c r="O108" i="5"/>
  <c r="O120" i="5"/>
  <c r="M134" i="5"/>
  <c r="C120" i="5"/>
  <c r="F134" i="5"/>
  <c r="X142" i="5"/>
  <c r="E120" i="5"/>
  <c r="H134" i="5"/>
  <c r="J143" i="5"/>
  <c r="O109" i="5"/>
  <c r="O121" i="5"/>
  <c r="M135" i="5"/>
  <c r="C121" i="5"/>
  <c r="F135" i="5"/>
  <c r="X139" i="5"/>
  <c r="F121" i="5"/>
  <c r="I135" i="5"/>
  <c r="J144" i="5"/>
  <c r="K160" i="5"/>
  <c r="AA131" i="5"/>
  <c r="AA130" i="5"/>
  <c r="U148" i="5"/>
  <c r="U149" i="5"/>
  <c r="AA132" i="5"/>
  <c r="U150" i="5"/>
  <c r="AA133" i="5"/>
  <c r="U151" i="5"/>
  <c r="K121" i="5"/>
  <c r="G160" i="5"/>
  <c r="G163" i="5"/>
  <c r="O13" i="5"/>
  <c r="K159" i="5"/>
  <c r="K120" i="5"/>
  <c r="G159" i="5"/>
  <c r="J120" i="5"/>
  <c r="F159" i="5"/>
  <c r="G164" i="5"/>
  <c r="O12" i="5"/>
  <c r="K158" i="5"/>
  <c r="J119" i="5"/>
  <c r="F158" i="5"/>
  <c r="K119" i="5"/>
  <c r="G158" i="5"/>
  <c r="I119" i="5"/>
  <c r="E158" i="5"/>
  <c r="G165" i="5"/>
  <c r="O11" i="5"/>
  <c r="K157" i="5"/>
  <c r="I118" i="5"/>
  <c r="E157" i="5"/>
  <c r="J118" i="5"/>
  <c r="F157" i="5"/>
  <c r="K118" i="5"/>
  <c r="G157" i="5"/>
  <c r="H118" i="5"/>
  <c r="D157" i="5"/>
  <c r="G166" i="5"/>
  <c r="O10" i="5"/>
  <c r="M13" i="5"/>
  <c r="M12" i="5"/>
  <c r="M11" i="5"/>
  <c r="M10" i="5"/>
  <c r="M106" i="5"/>
  <c r="M118" i="5"/>
  <c r="I157" i="5"/>
  <c r="E166" i="5"/>
  <c r="M107" i="5"/>
  <c r="M119" i="5"/>
  <c r="I158" i="5"/>
  <c r="E165" i="5"/>
  <c r="M108" i="5"/>
  <c r="M120" i="5"/>
  <c r="I159" i="5"/>
  <c r="E164" i="5"/>
  <c r="M109" i="5"/>
  <c r="M121" i="5"/>
  <c r="I160" i="5"/>
  <c r="E163" i="5"/>
  <c r="J121" i="5"/>
  <c r="F160" i="5"/>
  <c r="I121" i="5"/>
  <c r="E160" i="5"/>
  <c r="I120" i="5"/>
  <c r="E159" i="5"/>
  <c r="H121" i="5"/>
  <c r="D160" i="5"/>
  <c r="H120" i="5"/>
  <c r="D159" i="5"/>
  <c r="H119" i="5"/>
  <c r="D158" i="5"/>
  <c r="H164" i="5"/>
  <c r="H165" i="5"/>
  <c r="F120" i="5"/>
  <c r="I134" i="5"/>
  <c r="F119" i="5"/>
  <c r="I133" i="5"/>
  <c r="F118" i="5"/>
  <c r="I132" i="5"/>
  <c r="E119" i="5"/>
  <c r="H133" i="5"/>
  <c r="E118" i="5"/>
  <c r="H132" i="5"/>
  <c r="D118" i="5"/>
  <c r="G132" i="5"/>
  <c r="P54" i="4"/>
  <c r="P53" i="4"/>
  <c r="P52" i="4"/>
  <c r="L54" i="4"/>
  <c r="L53" i="4"/>
  <c r="L52" i="4"/>
  <c r="K54" i="4"/>
  <c r="K53" i="4"/>
  <c r="K52" i="4"/>
  <c r="J54" i="4"/>
  <c r="J53" i="4"/>
  <c r="J52" i="4"/>
  <c r="P21" i="4"/>
  <c r="P20" i="4"/>
  <c r="L21" i="4"/>
  <c r="L20" i="4"/>
  <c r="K21" i="4"/>
  <c r="K20" i="4"/>
  <c r="P119" i="4"/>
  <c r="P118" i="4"/>
  <c r="P117" i="4"/>
  <c r="P116" i="4"/>
  <c r="R119" i="4"/>
  <c r="R118" i="4"/>
  <c r="R117" i="4"/>
  <c r="R116" i="4"/>
  <c r="M119" i="4"/>
  <c r="M118" i="4"/>
  <c r="M117" i="4"/>
  <c r="M116" i="4"/>
  <c r="L119" i="4"/>
  <c r="L118" i="4"/>
  <c r="L117" i="4"/>
  <c r="L116" i="4"/>
  <c r="K119" i="4"/>
  <c r="K118" i="4"/>
  <c r="K117" i="4"/>
  <c r="K116" i="4"/>
  <c r="J119" i="4"/>
  <c r="J118" i="4"/>
  <c r="J117" i="4"/>
  <c r="J116" i="4"/>
  <c r="I102" i="4"/>
  <c r="I104" i="4"/>
  <c r="L102" i="4"/>
  <c r="L104" i="4"/>
  <c r="O102" i="4"/>
  <c r="O103" i="4"/>
  <c r="O104" i="4"/>
  <c r="L103" i="4"/>
  <c r="I103" i="4"/>
  <c r="AD130" i="5"/>
  <c r="AE130" i="5"/>
  <c r="AF130" i="5"/>
  <c r="AG130" i="5"/>
  <c r="AD131" i="5"/>
  <c r="AE131" i="5"/>
  <c r="AF131" i="5"/>
  <c r="AG131" i="5"/>
  <c r="AD132" i="5"/>
  <c r="AE132" i="5"/>
  <c r="AF132" i="5"/>
  <c r="AG132" i="5"/>
  <c r="AD133" i="5"/>
  <c r="AE133" i="5"/>
  <c r="AF133" i="5"/>
  <c r="AG133" i="5"/>
  <c r="AE98" i="5"/>
  <c r="AD98" i="5"/>
  <c r="AG97" i="5"/>
  <c r="AF97" i="5"/>
  <c r="AE97" i="5"/>
  <c r="AD97" i="5"/>
  <c r="H19" i="9"/>
  <c r="H18" i="9"/>
  <c r="H17" i="9"/>
  <c r="H16" i="9"/>
  <c r="F19" i="9"/>
  <c r="F18" i="9"/>
  <c r="F17" i="9"/>
  <c r="F16" i="9"/>
  <c r="E19" i="9"/>
  <c r="E18" i="9"/>
  <c r="E17" i="9"/>
  <c r="E16" i="9"/>
  <c r="D19" i="9"/>
  <c r="D18" i="9"/>
  <c r="D17" i="9"/>
  <c r="D16" i="9"/>
  <c r="C19" i="9"/>
  <c r="C18" i="9"/>
  <c r="C17" i="9"/>
  <c r="C16" i="9"/>
  <c r="D33" i="8"/>
  <c r="D34" i="8"/>
  <c r="D35" i="8"/>
  <c r="D36" i="8"/>
  <c r="E33" i="8"/>
  <c r="E34" i="8"/>
  <c r="E35" i="8"/>
  <c r="E36" i="8"/>
  <c r="F33" i="8"/>
  <c r="F34" i="8"/>
  <c r="F35" i="8"/>
  <c r="F36" i="8"/>
  <c r="G33" i="8"/>
  <c r="G34" i="8"/>
  <c r="G35" i="8"/>
  <c r="G36" i="8"/>
  <c r="H33" i="8"/>
  <c r="H34" i="8"/>
  <c r="H35" i="8"/>
  <c r="H36" i="8"/>
  <c r="I33" i="8"/>
  <c r="I34" i="8"/>
  <c r="I35" i="8"/>
  <c r="I36" i="8"/>
  <c r="J33" i="8"/>
  <c r="J34" i="8"/>
  <c r="J35" i="8"/>
  <c r="J36" i="8"/>
  <c r="K33" i="8"/>
  <c r="K34" i="8"/>
  <c r="K35" i="8"/>
  <c r="K36" i="8"/>
  <c r="L33" i="8"/>
  <c r="L34" i="8"/>
  <c r="L35" i="8"/>
  <c r="L36" i="8"/>
  <c r="M33" i="8"/>
  <c r="M34" i="8"/>
  <c r="M35" i="8"/>
  <c r="M36" i="8"/>
  <c r="N33" i="8"/>
  <c r="N34" i="8"/>
  <c r="N35" i="8"/>
  <c r="N36" i="8"/>
  <c r="O33" i="8"/>
  <c r="O34" i="8"/>
  <c r="O35" i="8"/>
  <c r="O36" i="8"/>
  <c r="P33" i="8"/>
  <c r="P34" i="8"/>
  <c r="P35" i="8"/>
  <c r="P36" i="8"/>
  <c r="D24" i="8"/>
  <c r="D25" i="8"/>
  <c r="D26" i="8"/>
  <c r="E27" i="8"/>
  <c r="D27" i="8"/>
  <c r="E26" i="8"/>
  <c r="E25" i="8"/>
  <c r="F24" i="8"/>
  <c r="E24" i="8"/>
  <c r="F25" i="8"/>
  <c r="F26" i="8"/>
  <c r="G27" i="8"/>
  <c r="F27" i="8"/>
  <c r="G26" i="8"/>
  <c r="G25" i="8"/>
  <c r="H24" i="8"/>
  <c r="G24" i="8"/>
  <c r="H25" i="8"/>
  <c r="H26" i="8"/>
  <c r="I27" i="8"/>
  <c r="H27" i="8"/>
  <c r="I26" i="8"/>
  <c r="I25" i="8"/>
  <c r="J24" i="8"/>
  <c r="I24" i="8"/>
  <c r="J25" i="8"/>
  <c r="J26" i="8"/>
  <c r="K27" i="8"/>
  <c r="J27" i="8"/>
  <c r="K26" i="8"/>
  <c r="K25" i="8"/>
  <c r="L24" i="8"/>
  <c r="K24" i="8"/>
  <c r="L25" i="8"/>
  <c r="L26" i="8"/>
  <c r="M27" i="8"/>
  <c r="L27" i="8"/>
  <c r="M26" i="8"/>
  <c r="M25" i="8"/>
  <c r="N24" i="8"/>
  <c r="M24" i="8"/>
  <c r="N25" i="8"/>
  <c r="N26" i="8"/>
  <c r="O27" i="8"/>
  <c r="N27" i="8"/>
  <c r="O26" i="8"/>
  <c r="O25" i="8"/>
  <c r="P24" i="8"/>
  <c r="O24" i="8"/>
  <c r="P25" i="8"/>
  <c r="P26" i="8"/>
  <c r="P27" i="8"/>
  <c r="D27" i="9"/>
  <c r="D32" i="9"/>
  <c r="D37" i="9"/>
  <c r="D42" i="9"/>
  <c r="D47" i="9"/>
  <c r="E27" i="9"/>
  <c r="E32" i="9"/>
  <c r="E37" i="9"/>
  <c r="E42" i="9"/>
  <c r="E47" i="9"/>
  <c r="E28" i="9"/>
  <c r="E33" i="9"/>
  <c r="D28" i="9"/>
  <c r="D33" i="9"/>
  <c r="E38" i="9"/>
  <c r="E29" i="9"/>
  <c r="E34" i="9"/>
  <c r="E39" i="9"/>
  <c r="E43" i="9"/>
  <c r="D38" i="9"/>
  <c r="D43" i="9"/>
  <c r="D48" i="9"/>
  <c r="D53" i="9"/>
  <c r="D52" i="9"/>
  <c r="D57" i="9"/>
  <c r="D62" i="9"/>
  <c r="F27" i="9"/>
  <c r="F32" i="9"/>
  <c r="F37" i="9"/>
  <c r="F42" i="9"/>
  <c r="F47" i="9"/>
  <c r="F28" i="9"/>
  <c r="F33" i="9"/>
  <c r="F38" i="9"/>
  <c r="F29" i="9"/>
  <c r="F34" i="9"/>
  <c r="F39" i="9"/>
  <c r="F43" i="9"/>
  <c r="F48" i="9"/>
  <c r="F53" i="9"/>
  <c r="F52" i="9"/>
  <c r="F57" i="9"/>
  <c r="F62" i="9"/>
  <c r="D29" i="9"/>
  <c r="D34" i="9"/>
  <c r="F44" i="9"/>
  <c r="F49" i="9"/>
  <c r="E44" i="9"/>
  <c r="E49" i="9"/>
  <c r="F54" i="9"/>
  <c r="F30" i="9"/>
  <c r="F35" i="9"/>
  <c r="D30" i="9"/>
  <c r="D35" i="9"/>
  <c r="F40" i="9"/>
  <c r="F45" i="9"/>
  <c r="F50" i="9"/>
  <c r="E30" i="9"/>
  <c r="E35" i="9"/>
  <c r="E40" i="9"/>
  <c r="E45" i="9"/>
  <c r="E50" i="9"/>
  <c r="F55" i="9"/>
  <c r="F59" i="9"/>
  <c r="D39" i="9"/>
  <c r="D44" i="9"/>
  <c r="D49" i="9"/>
  <c r="D54" i="9"/>
  <c r="D59" i="9"/>
  <c r="D64" i="9"/>
  <c r="D67" i="9"/>
  <c r="D72" i="9"/>
  <c r="G27" i="9"/>
  <c r="G32" i="9"/>
  <c r="G37" i="9"/>
  <c r="G42" i="9"/>
  <c r="G47" i="9"/>
  <c r="G28" i="9"/>
  <c r="G33" i="9"/>
  <c r="G38" i="9"/>
  <c r="G29" i="9"/>
  <c r="G34" i="9"/>
  <c r="G39" i="9"/>
  <c r="G43" i="9"/>
  <c r="G48" i="9"/>
  <c r="G53" i="9"/>
  <c r="G52" i="9"/>
  <c r="G57" i="9"/>
  <c r="G62" i="9"/>
  <c r="G30" i="9"/>
  <c r="G35" i="9"/>
  <c r="G40" i="9"/>
  <c r="G45" i="9"/>
  <c r="G50" i="9"/>
  <c r="G55" i="9"/>
  <c r="G44" i="9"/>
  <c r="G49" i="9"/>
  <c r="G54" i="9"/>
  <c r="G59" i="9"/>
  <c r="G64" i="9"/>
  <c r="G67" i="9"/>
  <c r="G72" i="9"/>
  <c r="G60" i="9"/>
  <c r="G65" i="9"/>
  <c r="F60" i="9"/>
  <c r="F65" i="9"/>
  <c r="G70" i="9"/>
  <c r="D40" i="9"/>
  <c r="D45" i="9"/>
  <c r="D50" i="9"/>
  <c r="D55" i="9"/>
  <c r="D60" i="9"/>
  <c r="D65" i="9"/>
  <c r="D70" i="9"/>
  <c r="D75" i="9"/>
  <c r="D80" i="9"/>
  <c r="D77" i="9"/>
  <c r="E48" i="9"/>
  <c r="E53" i="9"/>
  <c r="E52" i="9"/>
  <c r="E57" i="9"/>
  <c r="E62" i="9"/>
  <c r="E54" i="9"/>
  <c r="E59" i="9"/>
  <c r="E64" i="9"/>
  <c r="E67" i="9"/>
  <c r="E72" i="9"/>
  <c r="E55" i="9"/>
  <c r="E60" i="9"/>
  <c r="E65" i="9"/>
  <c r="E70" i="9"/>
  <c r="E75" i="9"/>
  <c r="E80" i="9"/>
  <c r="E77" i="9"/>
  <c r="F64" i="9"/>
  <c r="F67" i="9"/>
  <c r="F72" i="9"/>
  <c r="F70" i="9"/>
  <c r="F75" i="9"/>
  <c r="F80" i="9"/>
  <c r="F77" i="9"/>
  <c r="G75" i="9"/>
  <c r="G80" i="9"/>
  <c r="G77" i="9"/>
  <c r="C86" i="9" a="1"/>
  <c r="C86" i="9"/>
  <c r="M86" i="9"/>
  <c r="M91" i="9"/>
  <c r="M96" i="9"/>
  <c r="R19" i="9" a="1"/>
  <c r="R19" i="9"/>
  <c r="D58" i="9"/>
  <c r="D63" i="9"/>
  <c r="F58" i="9"/>
  <c r="F63" i="9"/>
  <c r="D69" i="9"/>
  <c r="D68" i="9"/>
  <c r="D73" i="9"/>
  <c r="G58" i="9"/>
  <c r="G63" i="9"/>
  <c r="G69" i="9"/>
  <c r="G68" i="9"/>
  <c r="G73" i="9"/>
  <c r="D78" i="9"/>
  <c r="E58" i="9"/>
  <c r="E63" i="9"/>
  <c r="E69" i="9"/>
  <c r="E68" i="9"/>
  <c r="E73" i="9"/>
  <c r="E78" i="9"/>
  <c r="F69" i="9"/>
  <c r="F68" i="9"/>
  <c r="F73" i="9"/>
  <c r="F78" i="9"/>
  <c r="G78" i="9"/>
  <c r="C87" i="9" a="1"/>
  <c r="C87" i="9"/>
  <c r="D74" i="9"/>
  <c r="G74" i="9"/>
  <c r="D79" i="9"/>
  <c r="E74" i="9"/>
  <c r="E79" i="9"/>
  <c r="F74" i="9"/>
  <c r="F79" i="9"/>
  <c r="G79" i="9"/>
  <c r="C88" i="9" a="1"/>
  <c r="C89" i="9" a="1"/>
  <c r="C88" i="9"/>
  <c r="C89" i="9"/>
  <c r="F93" i="9"/>
  <c r="D90" i="9"/>
  <c r="E90" i="9"/>
  <c r="F90" i="9"/>
  <c r="G90" i="9"/>
  <c r="F94" i="9"/>
  <c r="F97" i="9"/>
  <c r="R15" i="9"/>
  <c r="D129" i="9"/>
  <c r="K129" i="9"/>
  <c r="M87" i="9"/>
  <c r="M88" i="9"/>
  <c r="M92" i="9"/>
  <c r="M97" i="9"/>
  <c r="D130" i="9"/>
  <c r="K130" i="9"/>
  <c r="M93" i="9"/>
  <c r="M89" i="9"/>
  <c r="M94" i="9"/>
  <c r="M98" i="9"/>
  <c r="D131" i="9"/>
  <c r="I29" i="9"/>
  <c r="I34" i="9"/>
  <c r="I27" i="9"/>
  <c r="I32" i="9"/>
  <c r="I39" i="9"/>
  <c r="I28" i="9"/>
  <c r="I33" i="9"/>
  <c r="I38" i="9"/>
  <c r="I44" i="9"/>
  <c r="I49" i="9"/>
  <c r="I43" i="9"/>
  <c r="I48" i="9"/>
  <c r="I54" i="9"/>
  <c r="I30" i="9"/>
  <c r="I35" i="9"/>
  <c r="I40" i="9"/>
  <c r="I45" i="9"/>
  <c r="I50" i="9"/>
  <c r="I55" i="9"/>
  <c r="I59" i="9"/>
  <c r="I64" i="9"/>
  <c r="I69" i="9"/>
  <c r="I74" i="9"/>
  <c r="I60" i="9"/>
  <c r="I65" i="9"/>
  <c r="I70" i="9"/>
  <c r="I75" i="9"/>
  <c r="I80" i="9"/>
  <c r="I79" i="9"/>
  <c r="I88" i="9"/>
  <c r="S88" i="9"/>
  <c r="I37" i="9"/>
  <c r="I42" i="9"/>
  <c r="I47" i="9"/>
  <c r="I53" i="9"/>
  <c r="I52" i="9"/>
  <c r="I57" i="9"/>
  <c r="I62" i="9"/>
  <c r="I67" i="9"/>
  <c r="I72" i="9"/>
  <c r="I77" i="9"/>
  <c r="I86" i="9"/>
  <c r="I58" i="9"/>
  <c r="I63" i="9"/>
  <c r="I68" i="9"/>
  <c r="I73" i="9"/>
  <c r="I78" i="9"/>
  <c r="I87" i="9"/>
  <c r="S87" i="9"/>
  <c r="S93" i="9"/>
  <c r="S98" i="9"/>
  <c r="E107" i="9"/>
  <c r="H107" i="9"/>
  <c r="K107" i="9"/>
  <c r="E114" i="9"/>
  <c r="H114" i="9"/>
  <c r="E121" i="9"/>
  <c r="J131" i="9"/>
  <c r="K131" i="9"/>
  <c r="M99" i="9"/>
  <c r="D132" i="9"/>
  <c r="I89" i="9"/>
  <c r="S89" i="9"/>
  <c r="S94" i="9"/>
  <c r="S99" i="9"/>
  <c r="E108" i="9"/>
  <c r="K108" i="9"/>
  <c r="E115" i="9"/>
  <c r="H115" i="9"/>
  <c r="E122" i="9"/>
  <c r="J132" i="9"/>
  <c r="K132" i="9"/>
  <c r="E136" i="9"/>
  <c r="R17" i="9"/>
  <c r="O10" i="9"/>
  <c r="P14" i="4"/>
  <c r="P13" i="4"/>
  <c r="S27" i="4"/>
  <c r="P27" i="4"/>
  <c r="P26" i="4"/>
  <c r="S26" i="4"/>
  <c r="S30" i="4"/>
  <c r="Q27" i="4"/>
  <c r="Q26" i="4"/>
  <c r="Q30" i="4"/>
  <c r="R33" i="4"/>
  <c r="Q14" i="4"/>
  <c r="S29" i="4"/>
  <c r="Q29" i="4"/>
  <c r="P29" i="4"/>
  <c r="R32" i="4"/>
  <c r="Q13" i="4"/>
  <c r="P33" i="4"/>
  <c r="O14" i="4"/>
  <c r="P32" i="4"/>
  <c r="O13" i="4"/>
  <c r="B22" i="5"/>
  <c r="D16" i="8"/>
  <c r="B16" i="8"/>
  <c r="E16" i="8"/>
  <c r="C16" i="8"/>
  <c r="H16" i="8" a="1"/>
  <c r="H16" i="8"/>
  <c r="B14" i="8"/>
  <c r="C14" i="8"/>
  <c r="D14" i="8"/>
  <c r="E14" i="8"/>
  <c r="H14" i="8" a="1"/>
  <c r="H14" i="8"/>
  <c r="C15" i="8"/>
  <c r="B15" i="8"/>
  <c r="D15" i="8"/>
  <c r="E15" i="8"/>
  <c r="H15" i="8" a="1"/>
  <c r="H15" i="8"/>
  <c r="E17" i="8"/>
  <c r="B17" i="8"/>
  <c r="C17" i="8"/>
  <c r="D17" i="8"/>
  <c r="H17" i="8" a="1"/>
  <c r="H17" i="8"/>
  <c r="N17" i="8"/>
  <c r="G17" i="8"/>
  <c r="G16" i="8"/>
  <c r="G15" i="8"/>
  <c r="G14" i="8"/>
  <c r="U161" i="4"/>
  <c r="Q167" i="4"/>
  <c r="R108" i="4"/>
  <c r="S108" i="4"/>
  <c r="F128" i="4"/>
  <c r="R128" i="4"/>
  <c r="E127" i="4"/>
  <c r="Q127" i="4"/>
  <c r="Q132" i="4"/>
  <c r="E128" i="4"/>
  <c r="Q128" i="4"/>
  <c r="Q133" i="4"/>
  <c r="R133" i="4"/>
  <c r="F127" i="4"/>
  <c r="R127" i="4"/>
  <c r="R132" i="4"/>
  <c r="Q137" i="4"/>
  <c r="D126" i="4"/>
  <c r="P126" i="4"/>
  <c r="P131" i="4"/>
  <c r="D128" i="4"/>
  <c r="P128" i="4"/>
  <c r="P133" i="4"/>
  <c r="F126" i="4"/>
  <c r="R126" i="4"/>
  <c r="R131" i="4"/>
  <c r="P136" i="4"/>
  <c r="P141" i="4"/>
  <c r="D127" i="4"/>
  <c r="P127" i="4"/>
  <c r="P132" i="4"/>
  <c r="P137" i="4"/>
  <c r="P142" i="4"/>
  <c r="Q142" i="4"/>
  <c r="E126" i="4"/>
  <c r="Q126" i="4"/>
  <c r="Q131" i="4"/>
  <c r="Q136" i="4"/>
  <c r="Q141" i="4"/>
  <c r="P146" i="4"/>
  <c r="H125" i="4"/>
  <c r="T125" i="4"/>
  <c r="T130" i="4"/>
  <c r="H128" i="4"/>
  <c r="T128" i="4"/>
  <c r="T133" i="4"/>
  <c r="F125" i="4"/>
  <c r="R125" i="4"/>
  <c r="R130" i="4"/>
  <c r="T135" i="4"/>
  <c r="T140" i="4"/>
  <c r="H127" i="4"/>
  <c r="T127" i="4"/>
  <c r="T132" i="4"/>
  <c r="T137" i="4"/>
  <c r="T142" i="4"/>
  <c r="E125" i="4"/>
  <c r="Q125" i="4"/>
  <c r="Q130" i="4"/>
  <c r="Q135" i="4"/>
  <c r="Q140" i="4"/>
  <c r="T145" i="4"/>
  <c r="T150" i="4"/>
  <c r="H126" i="4"/>
  <c r="T126" i="4"/>
  <c r="T131" i="4"/>
  <c r="T136" i="4"/>
  <c r="T141" i="4"/>
  <c r="T146" i="4"/>
  <c r="T151" i="4"/>
  <c r="P151" i="4"/>
  <c r="D125" i="4"/>
  <c r="P125" i="4"/>
  <c r="P130" i="4"/>
  <c r="P135" i="4"/>
  <c r="P140" i="4"/>
  <c r="P145" i="4"/>
  <c r="P150" i="4"/>
  <c r="T155" i="4"/>
  <c r="W161" i="4"/>
  <c r="C125" i="4"/>
  <c r="O125" i="4"/>
  <c r="O130" i="4"/>
  <c r="C128" i="4"/>
  <c r="O128" i="4"/>
  <c r="O133" i="4"/>
  <c r="O135" i="4"/>
  <c r="O140" i="4"/>
  <c r="C127" i="4"/>
  <c r="O127" i="4"/>
  <c r="O132" i="4"/>
  <c r="O137" i="4"/>
  <c r="O142" i="4"/>
  <c r="O145" i="4"/>
  <c r="O150" i="4"/>
  <c r="C126" i="4"/>
  <c r="O126" i="4"/>
  <c r="O131" i="4"/>
  <c r="O136" i="4"/>
  <c r="O141" i="4"/>
  <c r="O146" i="4"/>
  <c r="O151" i="4"/>
  <c r="O155" i="4"/>
  <c r="O161" i="4"/>
  <c r="S167" i="4"/>
  <c r="T108" i="4"/>
  <c r="U162" i="4"/>
  <c r="Q168" i="4"/>
  <c r="R109" i="4"/>
  <c r="S109" i="4"/>
  <c r="T156" i="4"/>
  <c r="W162" i="4"/>
  <c r="O156" i="4"/>
  <c r="O162" i="4"/>
  <c r="P156" i="4"/>
  <c r="P162" i="4"/>
  <c r="S168" i="4"/>
  <c r="T109" i="4"/>
  <c r="U163" i="4"/>
  <c r="Q169" i="4"/>
  <c r="R110" i="4"/>
  <c r="S110" i="4"/>
  <c r="T147" i="4"/>
  <c r="T152" i="4"/>
  <c r="T157" i="4"/>
  <c r="W163" i="4"/>
  <c r="O147" i="4"/>
  <c r="O152" i="4"/>
  <c r="O157" i="4"/>
  <c r="O163" i="4"/>
  <c r="P147" i="4"/>
  <c r="P152" i="4"/>
  <c r="P157" i="4"/>
  <c r="P163" i="4"/>
  <c r="Q147" i="4"/>
  <c r="Q152" i="4"/>
  <c r="Q157" i="4"/>
  <c r="Q163" i="4"/>
  <c r="S169" i="4"/>
  <c r="T110" i="4"/>
  <c r="U164" i="4"/>
  <c r="Q170" i="4"/>
  <c r="R111" i="4"/>
  <c r="S111" i="4"/>
  <c r="T138" i="4"/>
  <c r="T143" i="4"/>
  <c r="T148" i="4"/>
  <c r="T153" i="4"/>
  <c r="T158" i="4"/>
  <c r="W164" i="4"/>
  <c r="O138" i="4"/>
  <c r="O143" i="4"/>
  <c r="O148" i="4"/>
  <c r="O153" i="4"/>
  <c r="O158" i="4"/>
  <c r="O164" i="4"/>
  <c r="P138" i="4"/>
  <c r="P143" i="4"/>
  <c r="P148" i="4"/>
  <c r="P153" i="4"/>
  <c r="P158" i="4"/>
  <c r="P164" i="4"/>
  <c r="Q138" i="4"/>
  <c r="Q143" i="4"/>
  <c r="Q148" i="4"/>
  <c r="Q153" i="4"/>
  <c r="Q158" i="4"/>
  <c r="Q164" i="4"/>
  <c r="R138" i="4"/>
  <c r="R143" i="4"/>
  <c r="R148" i="4"/>
  <c r="R153" i="4"/>
  <c r="R158" i="4"/>
  <c r="R164" i="4"/>
  <c r="S170" i="4"/>
  <c r="T111" i="4"/>
  <c r="D131" i="4"/>
  <c r="D130" i="4"/>
  <c r="C130" i="4"/>
  <c r="C131" i="4"/>
  <c r="D136" i="4"/>
  <c r="D132" i="4"/>
  <c r="C132" i="4"/>
  <c r="D137" i="4"/>
  <c r="E131" i="4"/>
  <c r="E130" i="4"/>
  <c r="E136" i="4"/>
  <c r="E132" i="4"/>
  <c r="E137" i="4"/>
  <c r="E142" i="4"/>
  <c r="E141" i="4"/>
  <c r="D141" i="4"/>
  <c r="D142" i="4"/>
  <c r="E147" i="4"/>
  <c r="H133" i="4"/>
  <c r="H130" i="4"/>
  <c r="C133" i="4"/>
  <c r="H138" i="4"/>
  <c r="H143" i="4"/>
  <c r="H132" i="4"/>
  <c r="H137" i="4"/>
  <c r="H131" i="4"/>
  <c r="H136" i="4"/>
  <c r="H141" i="4"/>
  <c r="D133" i="4"/>
  <c r="D138" i="4"/>
  <c r="D143" i="4"/>
  <c r="H148" i="4"/>
  <c r="H153" i="4"/>
  <c r="H142" i="4"/>
  <c r="H147" i="4"/>
  <c r="H152" i="4"/>
  <c r="E152" i="4"/>
  <c r="E133" i="4"/>
  <c r="E138" i="4"/>
  <c r="E143" i="4"/>
  <c r="E148" i="4"/>
  <c r="E153" i="4"/>
  <c r="H158" i="4"/>
  <c r="K164" i="4"/>
  <c r="F133" i="4"/>
  <c r="F130" i="4"/>
  <c r="F138" i="4"/>
  <c r="F143" i="4"/>
  <c r="F132" i="4"/>
  <c r="F137" i="4"/>
  <c r="F131" i="4"/>
  <c r="F136" i="4"/>
  <c r="F141" i="4"/>
  <c r="F148" i="4"/>
  <c r="F153" i="4"/>
  <c r="F142" i="4"/>
  <c r="F147" i="4"/>
  <c r="F152" i="4"/>
  <c r="F158" i="4"/>
  <c r="F164" i="4"/>
  <c r="G167" i="4"/>
  <c r="J111" i="4"/>
  <c r="H157" i="4"/>
  <c r="K163" i="4"/>
  <c r="F157" i="4"/>
  <c r="F163" i="4"/>
  <c r="E157" i="4"/>
  <c r="E163" i="4"/>
  <c r="G168" i="4"/>
  <c r="J110" i="4"/>
  <c r="H146" i="4"/>
  <c r="H151" i="4"/>
  <c r="H156" i="4"/>
  <c r="K162" i="4"/>
  <c r="E146" i="4"/>
  <c r="E151" i="4"/>
  <c r="E156" i="4"/>
  <c r="E162" i="4"/>
  <c r="F146" i="4"/>
  <c r="F151" i="4"/>
  <c r="F156" i="4"/>
  <c r="F162" i="4"/>
  <c r="D146" i="4"/>
  <c r="D151" i="4"/>
  <c r="D156" i="4"/>
  <c r="D162" i="4"/>
  <c r="G169" i="4"/>
  <c r="J109" i="4"/>
  <c r="H135" i="4"/>
  <c r="H140" i="4"/>
  <c r="H145" i="4"/>
  <c r="H150" i="4"/>
  <c r="H155" i="4"/>
  <c r="K161" i="4"/>
  <c r="F135" i="4"/>
  <c r="F140" i="4"/>
  <c r="F145" i="4"/>
  <c r="F150" i="4"/>
  <c r="F155" i="4"/>
  <c r="F161" i="4"/>
  <c r="E135" i="4"/>
  <c r="E140" i="4"/>
  <c r="E145" i="4"/>
  <c r="E150" i="4"/>
  <c r="E155" i="4"/>
  <c r="E161" i="4"/>
  <c r="D135" i="4"/>
  <c r="D140" i="4"/>
  <c r="D145" i="4"/>
  <c r="D150" i="4"/>
  <c r="D155" i="4"/>
  <c r="D161" i="4"/>
  <c r="C135" i="4"/>
  <c r="C140" i="4"/>
  <c r="C145" i="4"/>
  <c r="C150" i="4"/>
  <c r="C155" i="4"/>
  <c r="C161" i="4"/>
  <c r="G170" i="4"/>
  <c r="J108" i="4"/>
  <c r="H111" i="4"/>
  <c r="H110" i="4"/>
  <c r="H109" i="4"/>
  <c r="H108" i="4"/>
  <c r="S126" i="4"/>
  <c r="S127" i="4"/>
  <c r="S128" i="4"/>
  <c r="S130" i="4"/>
  <c r="S131" i="4"/>
  <c r="S132" i="4"/>
  <c r="S133" i="4"/>
  <c r="S135" i="4"/>
  <c r="S136" i="4"/>
  <c r="S137" i="4"/>
  <c r="S138" i="4"/>
  <c r="S140" i="4"/>
  <c r="S141" i="4"/>
  <c r="S142" i="4"/>
  <c r="S143" i="4"/>
  <c r="S145" i="4"/>
  <c r="S146" i="4"/>
  <c r="S147" i="4"/>
  <c r="S148" i="4"/>
  <c r="S150" i="4"/>
  <c r="S151" i="4"/>
  <c r="S152" i="4"/>
  <c r="S153" i="4"/>
  <c r="S155" i="4"/>
  <c r="S156" i="4"/>
  <c r="S157" i="4"/>
  <c r="S158" i="4"/>
  <c r="P155" i="4"/>
  <c r="P161" i="4"/>
  <c r="Q145" i="4"/>
  <c r="Q150" i="4"/>
  <c r="Q146" i="4"/>
  <c r="Q151" i="4"/>
  <c r="Q155" i="4"/>
  <c r="Q161" i="4"/>
  <c r="R135" i="4"/>
  <c r="R140" i="4"/>
  <c r="R137" i="4"/>
  <c r="R142" i="4"/>
  <c r="R145" i="4"/>
  <c r="R150" i="4"/>
  <c r="R136" i="4"/>
  <c r="R141" i="4"/>
  <c r="R146" i="4"/>
  <c r="R151" i="4"/>
  <c r="R155" i="4"/>
  <c r="R161" i="4"/>
  <c r="Q156" i="4"/>
  <c r="Q162" i="4"/>
  <c r="R156" i="4"/>
  <c r="R162" i="4"/>
  <c r="R147" i="4"/>
  <c r="R152" i="4"/>
  <c r="R157" i="4"/>
  <c r="R163" i="4"/>
  <c r="V161" i="4"/>
  <c r="S125" i="4"/>
  <c r="I161" i="4"/>
  <c r="E170" i="4"/>
  <c r="I162" i="4"/>
  <c r="E169" i="4"/>
  <c r="I163" i="4"/>
  <c r="E168" i="4"/>
  <c r="I164" i="4"/>
  <c r="E167" i="4"/>
  <c r="C136" i="4"/>
  <c r="C137" i="4"/>
  <c r="C141" i="4"/>
  <c r="C146" i="4"/>
  <c r="C151" i="4"/>
  <c r="C156" i="4"/>
  <c r="C162" i="4"/>
  <c r="C142" i="4"/>
  <c r="C147" i="4"/>
  <c r="C152" i="4"/>
  <c r="C157" i="4"/>
  <c r="C163" i="4"/>
  <c r="D147" i="4"/>
  <c r="D152" i="4"/>
  <c r="D157" i="4"/>
  <c r="D163" i="4"/>
  <c r="C138" i="4"/>
  <c r="C143" i="4"/>
  <c r="C148" i="4"/>
  <c r="C153" i="4"/>
  <c r="C158" i="4"/>
  <c r="C164" i="4"/>
  <c r="D148" i="4"/>
  <c r="D153" i="4"/>
  <c r="D158" i="4"/>
  <c r="D164" i="4"/>
  <c r="E158" i="4"/>
  <c r="E164" i="4"/>
  <c r="J161" i="4"/>
  <c r="Q94" i="10"/>
  <c r="F21" i="10"/>
  <c r="F20" i="10"/>
  <c r="E21" i="10"/>
  <c r="E20" i="10"/>
  <c r="B56" i="10"/>
  <c r="B59" i="10"/>
  <c r="C34" i="10"/>
  <c r="C37" i="10"/>
  <c r="D35" i="10"/>
  <c r="D38" i="10"/>
  <c r="E46" i="10"/>
  <c r="C35" i="10"/>
  <c r="C38" i="10"/>
  <c r="D34" i="10"/>
  <c r="D37" i="10"/>
  <c r="G46" i="10"/>
  <c r="E49" i="10"/>
  <c r="E56" i="10"/>
  <c r="F56" i="10"/>
  <c r="E59" i="10"/>
  <c r="B62" i="10"/>
  <c r="B66" i="10"/>
  <c r="B70" i="10"/>
  <c r="B73" i="10"/>
  <c r="B76" i="10"/>
  <c r="B57" i="10"/>
  <c r="B60" i="10"/>
  <c r="G56" i="10"/>
  <c r="E60" i="10"/>
  <c r="B63" i="10"/>
  <c r="B67" i="10"/>
  <c r="B71" i="10"/>
  <c r="B74" i="10"/>
  <c r="B77" i="10"/>
  <c r="C56" i="10"/>
  <c r="C59" i="10"/>
  <c r="F59" i="10"/>
  <c r="C62" i="10"/>
  <c r="E66" i="10"/>
  <c r="C70" i="10"/>
  <c r="C73" i="10"/>
  <c r="C76" i="10"/>
  <c r="G57" i="10"/>
  <c r="F60" i="10"/>
  <c r="C57" i="10"/>
  <c r="C60" i="10"/>
  <c r="C63" i="10"/>
  <c r="E67" i="10"/>
  <c r="C71" i="10"/>
  <c r="C74" i="10"/>
  <c r="C77" i="10"/>
  <c r="H76" i="10"/>
  <c r="E80" i="10"/>
  <c r="E82" i="10"/>
  <c r="E86" i="10"/>
  <c r="Q97" i="10"/>
  <c r="D100" i="10"/>
  <c r="Q100" i="10"/>
  <c r="Q103" i="10"/>
  <c r="G100" i="10"/>
  <c r="N56" i="10"/>
  <c r="N59" i="10"/>
  <c r="E50" i="10"/>
  <c r="Q56" i="10"/>
  <c r="R56" i="10"/>
  <c r="Q59" i="10"/>
  <c r="N62" i="10"/>
  <c r="N66" i="10"/>
  <c r="N70" i="10"/>
  <c r="N57" i="10"/>
  <c r="N60" i="10"/>
  <c r="S56" i="10"/>
  <c r="Q60" i="10"/>
  <c r="N63" i="10"/>
  <c r="N67" i="10"/>
  <c r="N71" i="10"/>
  <c r="N73" i="10"/>
  <c r="S57" i="10"/>
  <c r="R60" i="10"/>
  <c r="O57" i="10"/>
  <c r="O60" i="10"/>
  <c r="O63" i="10"/>
  <c r="Q67" i="10"/>
  <c r="O71" i="10"/>
  <c r="O56" i="10"/>
  <c r="O59" i="10"/>
  <c r="R59" i="10"/>
  <c r="O62" i="10"/>
  <c r="Q66" i="10"/>
  <c r="O70" i="10"/>
  <c r="O73" i="10"/>
  <c r="N76" i="10"/>
  <c r="N74" i="10"/>
  <c r="N77" i="10"/>
  <c r="O76" i="10"/>
  <c r="O74" i="10"/>
  <c r="O77" i="10"/>
  <c r="U76" i="10"/>
  <c r="Q80" i="10"/>
  <c r="Q82" i="10"/>
  <c r="Q86" i="10"/>
  <c r="R97" i="10"/>
  <c r="E100" i="10"/>
  <c r="G101" i="10"/>
  <c r="D104" i="10"/>
  <c r="U77" i="10"/>
  <c r="Q87" i="10"/>
  <c r="R98" i="10"/>
  <c r="W100" i="10"/>
  <c r="V104" i="10"/>
  <c r="H77" i="10"/>
  <c r="E87" i="10"/>
  <c r="Q98" i="10"/>
  <c r="W98" i="10"/>
  <c r="V111" i="10"/>
  <c r="J100" i="10"/>
  <c r="G104" i="10"/>
  <c r="R101" i="10"/>
  <c r="R104" i="10"/>
  <c r="H101" i="10"/>
  <c r="H100" i="10"/>
  <c r="E104" i="10"/>
  <c r="X100" i="10"/>
  <c r="W104" i="10"/>
  <c r="W108" i="10"/>
  <c r="V112" i="10"/>
  <c r="J101" i="10"/>
  <c r="G105" i="10"/>
  <c r="D108" i="10"/>
  <c r="M14" i="10"/>
  <c r="W101" i="10"/>
  <c r="V105" i="10"/>
  <c r="X107" i="10"/>
  <c r="W111" i="10"/>
  <c r="K100" i="10"/>
  <c r="H104" i="10"/>
  <c r="X101" i="10"/>
  <c r="W105" i="10"/>
  <c r="X108" i="10"/>
  <c r="W112" i="10"/>
  <c r="K101" i="10"/>
  <c r="H105" i="10"/>
  <c r="E108" i="10"/>
  <c r="N14" i="10"/>
  <c r="D101" i="10"/>
  <c r="E101" i="10"/>
  <c r="D105" i="10"/>
  <c r="E105" i="10"/>
  <c r="D109" i="10"/>
  <c r="M15" i="10"/>
  <c r="E109" i="10"/>
  <c r="N15" i="10"/>
  <c r="W107" i="10"/>
  <c r="Q101" i="10"/>
  <c r="Q74" i="10"/>
  <c r="W76" i="10"/>
  <c r="W77" i="10"/>
  <c r="T77" i="10"/>
  <c r="T76" i="10"/>
  <c r="G77" i="10"/>
  <c r="G76" i="10"/>
  <c r="B80" i="10"/>
  <c r="B82" i="10"/>
  <c r="N80" i="10"/>
  <c r="N82" i="10"/>
  <c r="Q77" i="10"/>
  <c r="Q76" i="10"/>
  <c r="Q73" i="10"/>
  <c r="Q71" i="10"/>
  <c r="Q70" i="10"/>
  <c r="J77" i="10"/>
  <c r="J76" i="10"/>
  <c r="E77" i="10"/>
  <c r="E76" i="10"/>
  <c r="E74" i="10"/>
  <c r="E73" i="10"/>
  <c r="E71" i="10"/>
  <c r="E70" i="10"/>
  <c r="T67" i="10"/>
  <c r="T66" i="10"/>
  <c r="R82" i="10"/>
  <c r="P82" i="10"/>
  <c r="O82" i="10"/>
  <c r="T80" i="10"/>
  <c r="R67" i="10"/>
  <c r="O67" i="10"/>
  <c r="R66" i="10"/>
  <c r="O66" i="10"/>
  <c r="R57" i="10"/>
  <c r="F82" i="10"/>
  <c r="D82" i="10"/>
  <c r="C82" i="10"/>
  <c r="F27" i="10"/>
  <c r="G25" i="10"/>
  <c r="D25" i="10"/>
  <c r="H66" i="10"/>
  <c r="H80" i="10"/>
  <c r="H67" i="10"/>
  <c r="D77" i="10"/>
  <c r="F67" i="10"/>
  <c r="C67" i="10"/>
  <c r="F66" i="10"/>
  <c r="C66" i="10"/>
  <c r="F57" i="10"/>
  <c r="C41" i="10"/>
  <c r="I44" i="10"/>
  <c r="D40" i="10"/>
  <c r="G44" i="10"/>
  <c r="D41" i="10"/>
  <c r="E44" i="10"/>
  <c r="C40" i="10"/>
  <c r="C44" i="10"/>
  <c r="G37" i="10"/>
  <c r="F38" i="10"/>
  <c r="E26" i="10"/>
  <c r="F34" i="10"/>
  <c r="G38" i="10"/>
  <c r="F37" i="10"/>
  <c r="F26" i="10"/>
  <c r="P14" i="3"/>
  <c r="Q14" i="3"/>
  <c r="R14" i="3"/>
  <c r="S14" i="3"/>
  <c r="P24" i="3"/>
  <c r="S15" i="3"/>
  <c r="Q22" i="3"/>
  <c r="Q29" i="3"/>
  <c r="S16" i="3"/>
  <c r="R22" i="3"/>
  <c r="R29" i="3"/>
  <c r="S17" i="3"/>
  <c r="S22" i="3"/>
  <c r="S29" i="3"/>
  <c r="P22" i="3"/>
  <c r="P29" i="3"/>
  <c r="R15" i="3"/>
  <c r="Q21" i="3"/>
  <c r="Q28" i="3"/>
  <c r="R16" i="3"/>
  <c r="R21" i="3"/>
  <c r="R28" i="3"/>
  <c r="R17" i="3"/>
  <c r="S21" i="3"/>
  <c r="S28" i="3"/>
  <c r="P21" i="3"/>
  <c r="P28" i="3"/>
  <c r="Q15" i="3"/>
  <c r="Q20" i="3"/>
  <c r="Q27" i="3"/>
  <c r="Q16" i="3"/>
  <c r="R20" i="3"/>
  <c r="R27" i="3"/>
  <c r="Q17" i="3"/>
  <c r="S20" i="3"/>
  <c r="S27" i="3"/>
  <c r="P19" i="3"/>
  <c r="P26" i="3"/>
  <c r="P20" i="3"/>
  <c r="P27" i="3"/>
  <c r="P15" i="3"/>
  <c r="Q19" i="3"/>
  <c r="Q26" i="3"/>
  <c r="P16" i="3"/>
  <c r="R19" i="3"/>
  <c r="R26" i="3"/>
  <c r="P17" i="3"/>
  <c r="S19" i="3"/>
  <c r="S26" i="3"/>
  <c r="G8" i="3"/>
  <c r="I9" i="3"/>
  <c r="I13" i="3"/>
  <c r="H18" i="3"/>
  <c r="G12" i="3"/>
  <c r="H8" i="3"/>
  <c r="H12" i="3"/>
  <c r="I8" i="3"/>
  <c r="I12" i="3"/>
  <c r="G20" i="3"/>
  <c r="H24" i="3"/>
  <c r="I10" i="3"/>
  <c r="I14" i="3"/>
  <c r="I18" i="3"/>
  <c r="I24" i="3"/>
  <c r="G18" i="3"/>
  <c r="G24" i="3"/>
  <c r="H9" i="3"/>
  <c r="H13" i="3"/>
  <c r="H17" i="3"/>
  <c r="H23" i="3"/>
  <c r="H10" i="3"/>
  <c r="H14" i="3"/>
  <c r="I17" i="3"/>
  <c r="I23" i="3"/>
  <c r="G17" i="3"/>
  <c r="G23" i="3"/>
  <c r="G9" i="3"/>
  <c r="G13" i="3"/>
  <c r="H16" i="3"/>
  <c r="H22" i="3"/>
  <c r="G10" i="3"/>
  <c r="G14" i="3"/>
  <c r="I16" i="3"/>
  <c r="I22" i="3"/>
  <c r="G16" i="3"/>
  <c r="G22" i="3"/>
  <c r="E64" i="4"/>
  <c r="E68" i="4"/>
  <c r="E69" i="4"/>
  <c r="E73" i="4"/>
  <c r="E70" i="4"/>
  <c r="E74" i="4"/>
  <c r="B60" i="4"/>
  <c r="C60" i="4"/>
  <c r="B61" i="4"/>
  <c r="C61" i="4"/>
  <c r="C64" i="4"/>
  <c r="C65" i="4"/>
  <c r="B65" i="4"/>
  <c r="B64" i="4"/>
  <c r="C69" i="4"/>
  <c r="B62" i="4"/>
  <c r="B66" i="4"/>
  <c r="B70" i="4"/>
  <c r="B74" i="4"/>
  <c r="D62" i="4"/>
  <c r="D66" i="4"/>
  <c r="D60" i="4"/>
  <c r="D61" i="4"/>
  <c r="D64" i="4"/>
  <c r="D70" i="4"/>
  <c r="D74" i="4"/>
  <c r="F62" i="4"/>
  <c r="F66" i="4"/>
  <c r="F60" i="4"/>
  <c r="F61" i="4"/>
  <c r="F64" i="4"/>
  <c r="F70" i="4"/>
  <c r="F74" i="4"/>
  <c r="C62" i="4"/>
  <c r="C66" i="4"/>
  <c r="C70" i="4"/>
  <c r="C74" i="4"/>
  <c r="S92" i="9"/>
  <c r="S97" i="9"/>
  <c r="E106" i="9"/>
  <c r="S86" i="9"/>
  <c r="S91" i="9"/>
  <c r="S96" i="9"/>
  <c r="E105" i="9"/>
  <c r="H108" i="9"/>
  <c r="N10" i="9"/>
  <c r="D86" i="9"/>
  <c r="D87" i="9"/>
  <c r="N86" i="9"/>
  <c r="N91" i="9"/>
  <c r="N96" i="9"/>
  <c r="E129" i="9"/>
  <c r="J16" i="9"/>
  <c r="E86" i="9"/>
  <c r="E87" i="9"/>
  <c r="O86" i="9"/>
  <c r="O91" i="9"/>
  <c r="O96" i="9"/>
  <c r="F129" i="9"/>
  <c r="K16" i="9"/>
  <c r="F86" i="9"/>
  <c r="F87" i="9"/>
  <c r="P86" i="9"/>
  <c r="P91" i="9"/>
  <c r="P96" i="9"/>
  <c r="G129" i="9"/>
  <c r="L16" i="9"/>
  <c r="G86" i="9"/>
  <c r="G87" i="9"/>
  <c r="Q86" i="9"/>
  <c r="Q91" i="9"/>
  <c r="Q96" i="9"/>
  <c r="H129" i="9"/>
  <c r="M16" i="9"/>
  <c r="H32" i="9"/>
  <c r="H37" i="9"/>
  <c r="H42" i="9"/>
  <c r="H47" i="9"/>
  <c r="H52" i="9"/>
  <c r="H57" i="9"/>
  <c r="H62" i="9"/>
  <c r="H67" i="9"/>
  <c r="H72" i="9"/>
  <c r="H77" i="9"/>
  <c r="H86" i="9"/>
  <c r="H33" i="9"/>
  <c r="H38" i="9"/>
  <c r="H43" i="9"/>
  <c r="H48" i="9"/>
  <c r="H53" i="9"/>
  <c r="H58" i="9"/>
  <c r="H63" i="9"/>
  <c r="H68" i="9"/>
  <c r="H73" i="9"/>
  <c r="H78" i="9"/>
  <c r="H87" i="9"/>
  <c r="R86" i="9"/>
  <c r="R91" i="9"/>
  <c r="R96" i="9"/>
  <c r="I129" i="9"/>
  <c r="N16" i="9"/>
  <c r="H105" i="9"/>
  <c r="K105" i="9"/>
  <c r="H112" i="9"/>
  <c r="E119" i="9"/>
  <c r="J129" i="9"/>
  <c r="O16" i="9"/>
  <c r="N87" i="9"/>
  <c r="D88" i="9"/>
  <c r="N88" i="9"/>
  <c r="N92" i="9"/>
  <c r="N97" i="9"/>
  <c r="E130" i="9"/>
  <c r="J17" i="9"/>
  <c r="O87" i="9"/>
  <c r="E88" i="9"/>
  <c r="O88" i="9"/>
  <c r="O92" i="9"/>
  <c r="O97" i="9"/>
  <c r="F130" i="9"/>
  <c r="K17" i="9"/>
  <c r="P87" i="9"/>
  <c r="F88" i="9"/>
  <c r="P88" i="9"/>
  <c r="P92" i="9"/>
  <c r="P97" i="9"/>
  <c r="G130" i="9"/>
  <c r="L17" i="9"/>
  <c r="Q87" i="9"/>
  <c r="G88" i="9"/>
  <c r="Q88" i="9"/>
  <c r="Q92" i="9"/>
  <c r="Q97" i="9"/>
  <c r="H130" i="9"/>
  <c r="M17" i="9"/>
  <c r="R87" i="9"/>
  <c r="H34" i="9"/>
  <c r="H39" i="9"/>
  <c r="H44" i="9"/>
  <c r="H49" i="9"/>
  <c r="H54" i="9"/>
  <c r="H59" i="9"/>
  <c r="H64" i="9"/>
  <c r="H69" i="9"/>
  <c r="H74" i="9"/>
  <c r="H79" i="9"/>
  <c r="H88" i="9"/>
  <c r="R88" i="9"/>
  <c r="R92" i="9"/>
  <c r="R97" i="9"/>
  <c r="I130" i="9"/>
  <c r="N17" i="9"/>
  <c r="H106" i="9"/>
  <c r="K106" i="9"/>
  <c r="E113" i="9"/>
  <c r="H113" i="9"/>
  <c r="E120" i="9"/>
  <c r="J130" i="9"/>
  <c r="O17" i="9"/>
  <c r="N93" i="9"/>
  <c r="N98" i="9"/>
  <c r="E131" i="9"/>
  <c r="J18" i="9"/>
  <c r="O93" i="9"/>
  <c r="O98" i="9"/>
  <c r="F131" i="9"/>
  <c r="K18" i="9"/>
  <c r="P93" i="9"/>
  <c r="P98" i="9"/>
  <c r="G131" i="9"/>
  <c r="L18" i="9"/>
  <c r="Q93" i="9"/>
  <c r="Q98" i="9"/>
  <c r="H131" i="9"/>
  <c r="M18" i="9"/>
  <c r="R93" i="9"/>
  <c r="R98" i="9"/>
  <c r="I131" i="9"/>
  <c r="N18" i="9"/>
  <c r="O18" i="9"/>
  <c r="D89" i="9"/>
  <c r="N89" i="9"/>
  <c r="N94" i="9"/>
  <c r="N99" i="9"/>
  <c r="E132" i="9"/>
  <c r="J19" i="9"/>
  <c r="E89" i="9"/>
  <c r="O89" i="9"/>
  <c r="O94" i="9"/>
  <c r="O99" i="9"/>
  <c r="F132" i="9"/>
  <c r="K19" i="9"/>
  <c r="F89" i="9"/>
  <c r="P89" i="9"/>
  <c r="P94" i="9"/>
  <c r="P99" i="9"/>
  <c r="G132" i="9"/>
  <c r="L19" i="9"/>
  <c r="G89" i="9"/>
  <c r="Q89" i="9"/>
  <c r="Q94" i="9"/>
  <c r="Q99" i="9"/>
  <c r="H132" i="9"/>
  <c r="M19" i="9"/>
  <c r="H35" i="9"/>
  <c r="H40" i="9"/>
  <c r="H45" i="9"/>
  <c r="H50" i="9"/>
  <c r="H55" i="9"/>
  <c r="H60" i="9"/>
  <c r="H65" i="9"/>
  <c r="H70" i="9"/>
  <c r="H75" i="9"/>
  <c r="H80" i="9"/>
  <c r="H89" i="9"/>
  <c r="R89" i="9"/>
  <c r="R94" i="9"/>
  <c r="R99" i="9"/>
  <c r="I132" i="9"/>
  <c r="N19" i="9"/>
  <c r="O19" i="9"/>
  <c r="E112" i="9"/>
  <c r="F23" i="6"/>
  <c r="F22" i="6"/>
  <c r="J33" i="6"/>
  <c r="F21" i="6"/>
  <c r="F24" i="5"/>
  <c r="J35" i="5"/>
  <c r="F23" i="5"/>
  <c r="J34" i="5"/>
  <c r="F22" i="5"/>
  <c r="J34" i="6"/>
  <c r="J32" i="6"/>
  <c r="H24" i="5"/>
  <c r="L35" i="5"/>
  <c r="H23" i="5"/>
  <c r="L34" i="5"/>
  <c r="H22" i="5"/>
  <c r="L33" i="5"/>
  <c r="J33" i="5"/>
  <c r="C24" i="5"/>
  <c r="D24" i="5"/>
  <c r="C23" i="5"/>
  <c r="D23" i="5"/>
  <c r="C22" i="5"/>
  <c r="D22" i="5"/>
  <c r="Q62" i="4"/>
  <c r="Q60" i="4"/>
  <c r="O62" i="4"/>
  <c r="O61" i="4"/>
  <c r="O60" i="4"/>
  <c r="Q61" i="4"/>
  <c r="Q47" i="4"/>
  <c r="S85" i="4"/>
  <c r="O93" i="4"/>
  <c r="P47" i="4"/>
  <c r="Q46" i="4"/>
  <c r="S84" i="4"/>
  <c r="O92" i="4"/>
  <c r="P46" i="4"/>
  <c r="Q45" i="4"/>
  <c r="S83" i="4"/>
  <c r="O91" i="4"/>
  <c r="P45" i="4"/>
  <c r="E66" i="4"/>
  <c r="E65" i="4"/>
  <c r="O64" i="4"/>
  <c r="O65" i="4"/>
  <c r="S61" i="4"/>
  <c r="S62" i="4"/>
  <c r="S65" i="4"/>
  <c r="S60" i="4"/>
  <c r="S64" i="4"/>
  <c r="Q64" i="4"/>
  <c r="Q65" i="4"/>
  <c r="V46" i="5"/>
  <c r="V53" i="5"/>
  <c r="G42" i="5"/>
  <c r="D75" i="5"/>
  <c r="V48" i="5"/>
  <c r="W48" i="5"/>
  <c r="B24" i="5"/>
  <c r="U48" i="5"/>
  <c r="V47" i="5"/>
  <c r="W47" i="5"/>
  <c r="B23" i="5"/>
  <c r="U47" i="5"/>
  <c r="W46" i="5"/>
  <c r="Y53" i="5"/>
  <c r="H42" i="5"/>
  <c r="E75" i="5"/>
  <c r="U46" i="5"/>
  <c r="S53" i="5"/>
  <c r="F42" i="5"/>
  <c r="C75" i="5"/>
  <c r="Y42" i="6"/>
  <c r="Z42" i="6"/>
  <c r="AA42" i="6"/>
  <c r="Y43" i="6"/>
  <c r="Z43" i="6"/>
  <c r="AA43" i="6"/>
  <c r="Y44" i="6"/>
  <c r="Z44" i="6"/>
  <c r="AA44" i="6"/>
  <c r="Q35" i="6"/>
  <c r="R35" i="6"/>
  <c r="S35" i="6"/>
  <c r="Q36" i="6"/>
  <c r="R36" i="6"/>
  <c r="S36" i="6"/>
  <c r="Q37" i="6"/>
  <c r="R37" i="6"/>
  <c r="S37" i="6"/>
  <c r="G79" i="6"/>
  <c r="G80" i="6"/>
  <c r="G43" i="6"/>
  <c r="D75" i="6"/>
  <c r="F43" i="6"/>
  <c r="C75" i="6"/>
  <c r="F42" i="6"/>
  <c r="C74" i="6"/>
  <c r="D42" i="6"/>
  <c r="F54" i="6"/>
  <c r="D41" i="6"/>
  <c r="F53" i="6"/>
  <c r="C41" i="6"/>
  <c r="E53" i="6"/>
  <c r="L43" i="6"/>
  <c r="J43" i="6"/>
  <c r="G75" i="6"/>
  <c r="D78" i="6"/>
  <c r="J42" i="6"/>
  <c r="G74" i="6"/>
  <c r="D79" i="6"/>
  <c r="L41" i="6"/>
  <c r="J41" i="6"/>
  <c r="G73" i="6"/>
  <c r="D80" i="6"/>
  <c r="G81" i="5"/>
  <c r="G82" i="5"/>
  <c r="G44" i="5"/>
  <c r="D77" i="5"/>
  <c r="F44" i="5"/>
  <c r="C77" i="5"/>
  <c r="F43" i="5"/>
  <c r="C76" i="5"/>
  <c r="D43" i="5"/>
  <c r="F55" i="5"/>
  <c r="D42" i="5"/>
  <c r="F54" i="5"/>
  <c r="C42" i="5"/>
  <c r="E54" i="5"/>
  <c r="J43" i="5"/>
  <c r="G76" i="5"/>
  <c r="D81" i="5"/>
  <c r="D11" i="5"/>
  <c r="J55" i="5"/>
  <c r="J44" i="5"/>
  <c r="G77" i="5"/>
  <c r="D80" i="5"/>
  <c r="D12" i="5"/>
  <c r="J56" i="5"/>
  <c r="J42" i="5"/>
  <c r="G75" i="5"/>
  <c r="D82" i="5"/>
  <c r="D10" i="5"/>
  <c r="L42" i="5"/>
  <c r="Y59" i="5"/>
  <c r="D44" i="5"/>
  <c r="F56" i="5"/>
  <c r="V58" i="5"/>
  <c r="C43" i="5"/>
  <c r="E55" i="5"/>
  <c r="S57" i="5"/>
  <c r="B42" i="5"/>
  <c r="D54" i="5"/>
  <c r="T64" i="4"/>
  <c r="T68" i="4"/>
  <c r="T72" i="4"/>
  <c r="T76" i="4"/>
  <c r="R92" i="4"/>
  <c r="R93" i="4"/>
  <c r="S66" i="4"/>
  <c r="S70" i="4"/>
  <c r="S74" i="4"/>
  <c r="S78" i="4"/>
  <c r="U85" i="4"/>
  <c r="Q66" i="4"/>
  <c r="I47" i="4"/>
  <c r="I46" i="4"/>
  <c r="I45" i="4"/>
  <c r="E92" i="4"/>
  <c r="E93" i="4"/>
  <c r="G64" i="4"/>
  <c r="G68" i="4"/>
  <c r="G72" i="4"/>
  <c r="G76" i="4"/>
  <c r="J30" i="4"/>
  <c r="J29" i="4"/>
  <c r="L42" i="6"/>
  <c r="S69" i="4"/>
  <c r="Q69" i="4"/>
  <c r="S68" i="4"/>
  <c r="Q70" i="4"/>
  <c r="Q74" i="4"/>
  <c r="Q78" i="4"/>
  <c r="Q85" i="4"/>
  <c r="Q68" i="4"/>
  <c r="F65" i="4"/>
  <c r="J54" i="5"/>
  <c r="G62" i="5"/>
  <c r="I75" i="5"/>
  <c r="L44" i="5"/>
  <c r="L43" i="5"/>
  <c r="S58" i="5"/>
  <c r="B43" i="5"/>
  <c r="D55" i="5"/>
  <c r="S59" i="5"/>
  <c r="E72" i="4"/>
  <c r="Y54" i="5"/>
  <c r="H43" i="5"/>
  <c r="E76" i="5"/>
  <c r="B44" i="5"/>
  <c r="D56" i="5"/>
  <c r="V54" i="5"/>
  <c r="V59" i="5"/>
  <c r="G63" i="5"/>
  <c r="I76" i="5"/>
  <c r="E76" i="4"/>
  <c r="C44" i="5"/>
  <c r="E56" i="5"/>
  <c r="G64" i="5"/>
  <c r="I77" i="5"/>
  <c r="Y55" i="5"/>
  <c r="H44" i="5"/>
  <c r="E77" i="5"/>
  <c r="G43" i="5"/>
  <c r="D76" i="5"/>
  <c r="E77" i="4"/>
  <c r="E78" i="4"/>
  <c r="F80" i="5"/>
  <c r="F81" i="5"/>
  <c r="H33" i="4"/>
  <c r="H32" i="4"/>
  <c r="K14" i="4"/>
  <c r="K13" i="4"/>
  <c r="I27" i="4"/>
  <c r="I30" i="4"/>
  <c r="I26" i="4"/>
  <c r="P40" i="4"/>
  <c r="P41" i="4"/>
  <c r="M41" i="4"/>
  <c r="M40" i="4"/>
  <c r="J41" i="4"/>
  <c r="J40" i="4"/>
  <c r="N54" i="4"/>
  <c r="F85" i="4"/>
  <c r="B91" i="4"/>
  <c r="N53" i="4"/>
  <c r="F84" i="4"/>
  <c r="B92" i="4"/>
  <c r="N52" i="4"/>
  <c r="F83" i="4"/>
  <c r="B93" i="4"/>
  <c r="N21" i="4"/>
  <c r="H27" i="4"/>
  <c r="H30" i="4"/>
  <c r="K26" i="4"/>
  <c r="N20" i="4"/>
  <c r="O10" i="4"/>
  <c r="L10" i="4"/>
  <c r="C8" i="3"/>
  <c r="C11" i="3"/>
  <c r="B7" i="3"/>
  <c r="B10" i="3"/>
  <c r="B8" i="3"/>
  <c r="C10" i="3"/>
  <c r="C7" i="3"/>
  <c r="B11" i="3"/>
  <c r="B13" i="3"/>
  <c r="C15" i="3"/>
  <c r="C18" i="1"/>
  <c r="C8" i="1"/>
  <c r="F12" i="5"/>
  <c r="F82" i="5"/>
  <c r="F10" i="5"/>
  <c r="F11" i="5"/>
  <c r="K27" i="4"/>
  <c r="K30" i="4"/>
  <c r="D65" i="4"/>
  <c r="O66" i="4"/>
  <c r="O69" i="4"/>
  <c r="P60" i="4"/>
  <c r="P64" i="4"/>
  <c r="P62" i="4"/>
  <c r="P61" i="4"/>
  <c r="P66" i="4"/>
  <c r="F68" i="4"/>
  <c r="F72" i="4"/>
  <c r="F76" i="4"/>
  <c r="H83" i="4"/>
  <c r="P65" i="4"/>
  <c r="H26" i="4"/>
  <c r="H29" i="4"/>
  <c r="I29" i="4"/>
  <c r="P30" i="4"/>
  <c r="C16" i="3"/>
  <c r="P69" i="4"/>
  <c r="Q73" i="4"/>
  <c r="Q77" i="4"/>
  <c r="Q84" i="4"/>
  <c r="P70" i="4"/>
  <c r="P74" i="4"/>
  <c r="P78" i="4"/>
  <c r="P85" i="4"/>
  <c r="P68" i="4"/>
  <c r="C68" i="4"/>
  <c r="C72" i="4"/>
  <c r="C76" i="4"/>
  <c r="C83" i="4"/>
  <c r="B68" i="4"/>
  <c r="B72" i="4"/>
  <c r="B76" i="4"/>
  <c r="B83" i="4"/>
  <c r="D68" i="4"/>
  <c r="D72" i="4"/>
  <c r="D76" i="4"/>
  <c r="D83" i="4"/>
  <c r="O70" i="4"/>
  <c r="O74" i="4"/>
  <c r="O78" i="4"/>
  <c r="O85" i="4"/>
  <c r="O68" i="4"/>
  <c r="K29" i="4"/>
  <c r="J32" i="4"/>
  <c r="B16" i="3"/>
  <c r="B15" i="3"/>
  <c r="S73" i="4"/>
  <c r="S77" i="4"/>
  <c r="U84" i="4"/>
  <c r="O73" i="4"/>
  <c r="P73" i="4"/>
  <c r="O72" i="4"/>
  <c r="P77" i="4"/>
  <c r="P84" i="4"/>
  <c r="S72" i="4"/>
  <c r="P72" i="4"/>
  <c r="P76" i="4"/>
  <c r="P83" i="4"/>
  <c r="Q72" i="4"/>
  <c r="B69" i="4"/>
  <c r="O77" i="4"/>
  <c r="O84" i="4"/>
  <c r="J33" i="4"/>
  <c r="M14" i="4"/>
  <c r="M13" i="4"/>
  <c r="O76" i="4"/>
  <c r="O83" i="4"/>
  <c r="Q76" i="4"/>
  <c r="Q83" i="4"/>
  <c r="S76" i="4"/>
  <c r="U83" i="4"/>
  <c r="D69" i="4"/>
  <c r="F69" i="4"/>
  <c r="C73" i="4"/>
  <c r="C77" i="4"/>
  <c r="C84" i="4"/>
  <c r="Q91" i="4"/>
  <c r="Q92" i="4"/>
  <c r="R46" i="4"/>
  <c r="F73" i="4"/>
  <c r="F77" i="4"/>
  <c r="H84" i="4"/>
  <c r="B73" i="4"/>
  <c r="B77" i="4"/>
  <c r="B84" i="4"/>
  <c r="D73" i="4"/>
  <c r="D77" i="4"/>
  <c r="D84" i="4"/>
  <c r="B78" i="4"/>
  <c r="B85" i="4"/>
  <c r="C78" i="4"/>
  <c r="C85" i="4"/>
  <c r="R45" i="4"/>
  <c r="Q93" i="4"/>
  <c r="R47" i="4"/>
  <c r="D78" i="4"/>
  <c r="D85" i="4"/>
  <c r="F78" i="4"/>
  <c r="H85" i="4"/>
  <c r="D91" i="4"/>
  <c r="D92" i="4"/>
  <c r="K47" i="4"/>
  <c r="K46" i="4"/>
  <c r="D93" i="4"/>
  <c r="K4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<sst xmlns="http://schemas.openxmlformats.org/spreadsheetml/2006/main" count="1520" uniqueCount="417">
  <si>
    <t xml:space="preserve">Let A = </t>
  </si>
  <si>
    <t>Det(A) =</t>
  </si>
  <si>
    <t>Let B =</t>
  </si>
  <si>
    <t>Det(B) =</t>
  </si>
  <si>
    <t>For a 4*4 matrix :</t>
  </si>
  <si>
    <t>For a 3*3 matrix :</t>
  </si>
  <si>
    <t xml:space="preserve">For a 2*2 matrix : </t>
  </si>
  <si>
    <t>Let C =</t>
  </si>
  <si>
    <t xml:space="preserve">Matrix , A </t>
  </si>
  <si>
    <t>Cofactor Matrix</t>
  </si>
  <si>
    <t>Adjoint, (adj(A))</t>
  </si>
  <si>
    <t>Determinant, det(A)</t>
  </si>
  <si>
    <t>Inverse of A</t>
  </si>
  <si>
    <t>Matrix, B</t>
  </si>
  <si>
    <t>Minors</t>
  </si>
  <si>
    <t>//</t>
  </si>
  <si>
    <t>M11</t>
  </si>
  <si>
    <t>M12</t>
  </si>
  <si>
    <t>M13</t>
  </si>
  <si>
    <t>M21</t>
  </si>
  <si>
    <t>M22</t>
  </si>
  <si>
    <t>M23</t>
  </si>
  <si>
    <t>M31</t>
  </si>
  <si>
    <t>M32</t>
  </si>
  <si>
    <t>M33</t>
  </si>
  <si>
    <t>Cofactor matrix</t>
  </si>
  <si>
    <t>Adjoint</t>
  </si>
  <si>
    <t>determinant, det(B)</t>
  </si>
  <si>
    <t xml:space="preserve">Gauss Elimination </t>
  </si>
  <si>
    <t>EQ1</t>
  </si>
  <si>
    <t>x</t>
  </si>
  <si>
    <t>y</t>
  </si>
  <si>
    <t>=</t>
  </si>
  <si>
    <t>EQ2</t>
  </si>
  <si>
    <t>A</t>
  </si>
  <si>
    <t>B</t>
  </si>
  <si>
    <t>*</t>
  </si>
  <si>
    <t>Forward Substitution (Lower Triangular)</t>
  </si>
  <si>
    <t>Backwards Substitution (Upper Triangular)</t>
  </si>
  <si>
    <t>\\</t>
  </si>
  <si>
    <t>3 unknowns (3 x 3 matrix)</t>
  </si>
  <si>
    <t>+</t>
  </si>
  <si>
    <t>EQ3</t>
  </si>
  <si>
    <t>-</t>
  </si>
  <si>
    <t>ANSWER--&gt;</t>
  </si>
  <si>
    <t>2 Unknowns (2 x 2 matrix)</t>
  </si>
  <si>
    <t>Swapping rows if first pivot is zero</t>
  </si>
  <si>
    <t>Create Augmented Matrix</t>
  </si>
  <si>
    <t>BACKWARD SUBSTITUTION (Upper Triangular)</t>
  </si>
  <si>
    <t>&gt;&gt;&gt;&gt;&gt;&gt;&gt;</t>
  </si>
  <si>
    <t>Making elements below 2nd pivot = 0 (if no swapping occurred)</t>
  </si>
  <si>
    <t>|</t>
  </si>
  <si>
    <t>V</t>
  </si>
  <si>
    <t>LOWER TRIANGULAR FORM</t>
  </si>
  <si>
    <t>UPPER TRIANGULAR FORM</t>
  </si>
  <si>
    <t>&lt;&lt;&lt;&lt;&lt;&lt;</t>
  </si>
  <si>
    <t>Calculate third term from third row</t>
  </si>
  <si>
    <t>Use 2nd row + 3rd value</t>
  </si>
  <si>
    <t>Use 1st row + (3rd and 2nd value)</t>
  </si>
  <si>
    <t>Swapping 2nd row with 3rd rows if 2nd pivot = 0</t>
  </si>
  <si>
    <t>Swapping rows if third pivot is zero</t>
  </si>
  <si>
    <t>Calculate first term from first row</t>
  </si>
  <si>
    <t>Use 2nd row + 1st value</t>
  </si>
  <si>
    <t>Use 3rd row + (1st and 2nd value)</t>
  </si>
  <si>
    <t>Swapping 2nd row with 1st row if 2nd pivot = 0</t>
  </si>
  <si>
    <t>Making elements above 2nd pivot = 0 (if no swapping occurred)</t>
  </si>
  <si>
    <t>Making all elements above third pivot = 0</t>
  </si>
  <si>
    <t>Making all elements below first pivot = 0</t>
  </si>
  <si>
    <t>FORWARD SUBSTITUTION (Lower Triangular)</t>
  </si>
  <si>
    <t>LU Decomposition (Dolittle's Method)</t>
  </si>
  <si>
    <t>(LU)</t>
  </si>
  <si>
    <t>L</t>
  </si>
  <si>
    <t>U</t>
  </si>
  <si>
    <t>L11</t>
  </si>
  <si>
    <t>L21</t>
  </si>
  <si>
    <t>L31</t>
  </si>
  <si>
    <t>L22</t>
  </si>
  <si>
    <t>L32</t>
  </si>
  <si>
    <t>L33</t>
  </si>
  <si>
    <t>U11</t>
  </si>
  <si>
    <t>U12</t>
  </si>
  <si>
    <t>U13</t>
  </si>
  <si>
    <t>U22</t>
  </si>
  <si>
    <t>U23</t>
  </si>
  <si>
    <t>U33</t>
  </si>
  <si>
    <t>L11U11</t>
  </si>
  <si>
    <t>L21U11</t>
  </si>
  <si>
    <t>L31U11</t>
  </si>
  <si>
    <t>L11U12</t>
  </si>
  <si>
    <t>L11U13</t>
  </si>
  <si>
    <t>L21U12+L22U22</t>
  </si>
  <si>
    <t>L21U13+L22U23</t>
  </si>
  <si>
    <t>L31U12+L32U22</t>
  </si>
  <si>
    <t>Dolittle's Method:</t>
  </si>
  <si>
    <t>L11=</t>
  </si>
  <si>
    <t xml:space="preserve">L22 = </t>
  </si>
  <si>
    <t>L11 =</t>
  </si>
  <si>
    <t>L33 =</t>
  </si>
  <si>
    <t>L21U12+U22</t>
  </si>
  <si>
    <t>L21U13+U23</t>
  </si>
  <si>
    <t>U11 =</t>
  </si>
  <si>
    <t>U12 =</t>
  </si>
  <si>
    <t>U13 =</t>
  </si>
  <si>
    <t>&gt;&gt;&gt;&gt;&gt;</t>
  </si>
  <si>
    <t>U23 =</t>
  </si>
  <si>
    <t>U33 =</t>
  </si>
  <si>
    <t>U22=</t>
  </si>
  <si>
    <t>U33=</t>
  </si>
  <si>
    <t>L21=</t>
  </si>
  <si>
    <t>L31=</t>
  </si>
  <si>
    <t>L22=</t>
  </si>
  <si>
    <t>L33=</t>
  </si>
  <si>
    <t>L32=</t>
  </si>
  <si>
    <t>FORMULA</t>
  </si>
  <si>
    <t>Z</t>
  </si>
  <si>
    <t>(U*x)</t>
  </si>
  <si>
    <t>Z1</t>
  </si>
  <si>
    <t>Z2</t>
  </si>
  <si>
    <t>Z3</t>
  </si>
  <si>
    <t>Let</t>
  </si>
  <si>
    <t>CALCULATION OF L and U</t>
  </si>
  <si>
    <t>Equate for Z</t>
  </si>
  <si>
    <t>Z1 =</t>
  </si>
  <si>
    <t>Z2 =</t>
  </si>
  <si>
    <t>Z3 =</t>
  </si>
  <si>
    <t>&gt;&gt;&gt;</t>
  </si>
  <si>
    <t>ANSWER</t>
  </si>
  <si>
    <t>a</t>
  </si>
  <si>
    <t>b</t>
  </si>
  <si>
    <t>c</t>
  </si>
  <si>
    <t>L31U13+L32U23+U33</t>
  </si>
  <si>
    <t>L31U13+L32U23+L33U33</t>
  </si>
  <si>
    <t>LU Decomposition (Crout's Method)</t>
  </si>
  <si>
    <t xml:space="preserve">U22 = </t>
  </si>
  <si>
    <t>L21U12+L22</t>
  </si>
  <si>
    <t>L31U12+L32</t>
  </si>
  <si>
    <t>L31U13+L32U23+L33</t>
  </si>
  <si>
    <t>Crout's Method:</t>
  </si>
  <si>
    <t>BACKWARD SUBSTITUTION</t>
  </si>
  <si>
    <t>Iterative Approaches:</t>
  </si>
  <si>
    <t>Gauss Seidel</t>
  </si>
  <si>
    <t>z</t>
  </si>
  <si>
    <t>w</t>
  </si>
  <si>
    <t>Gauss Jacobi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</si>
  <si>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</si>
  <si>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</si>
  <si>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</si>
  <si>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</si>
  <si>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</si>
  <si>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</si>
  <si>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</si>
  <si>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</si>
  <si>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</si>
  <si>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</si>
  <si>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</si>
  <si>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</si>
  <si>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Origin</t>
  </si>
  <si>
    <t>Indicate solvable and insolvable system of Equations</t>
  </si>
  <si>
    <t>&gt;&gt;&gt;&gt;</t>
  </si>
  <si>
    <t>Swapping rows if first pivot = 0</t>
  </si>
  <si>
    <t>&lt;&lt;&lt;</t>
  </si>
  <si>
    <t>RANK A</t>
  </si>
  <si>
    <t>RANK A (rows)</t>
  </si>
  <si>
    <t>RANK A (cols)</t>
  </si>
  <si>
    <t>HENCE :</t>
  </si>
  <si>
    <t>Row 1</t>
  </si>
  <si>
    <t>Row 2</t>
  </si>
  <si>
    <t>Row 3</t>
  </si>
  <si>
    <t>Row 4</t>
  </si>
  <si>
    <t>IF r1 = r2 = 0</t>
  </si>
  <si>
    <t>If r1 = r3 = 0</t>
  </si>
  <si>
    <t>If r1 = r4 = 0</t>
  </si>
  <si>
    <t>If r2 = r3 = 0</t>
  </si>
  <si>
    <t>If r2 = r4 = 0</t>
  </si>
  <si>
    <t>If r3 = r4 = 0</t>
  </si>
  <si>
    <t>Matrix A|B</t>
  </si>
  <si>
    <t>Rank A</t>
  </si>
  <si>
    <t>Rank A|B</t>
  </si>
  <si>
    <t>CALCULATIONS</t>
  </si>
  <si>
    <t>Augmented Matrix</t>
  </si>
  <si>
    <t>Reduced Row Echelon Form</t>
  </si>
  <si>
    <t xml:space="preserve"> &gt;&gt;&gt;&gt;</t>
  </si>
  <si>
    <t>Rank A  =</t>
  </si>
  <si>
    <t>Unknowns =</t>
  </si>
  <si>
    <t>3. IF RANK(A|B) = Unknowns , Therefore Unique Solution</t>
  </si>
  <si>
    <t>1. IF RANK(A) &lt;&gt; RANK(A|B), System is unsolvable</t>
  </si>
  <si>
    <t>4. IF RANK(A|B) &lt; Unknowns , Therefore Multiple Solutions</t>
  </si>
  <si>
    <t>2. IF RANK(A) = RANK(A|B), System is solvable</t>
  </si>
  <si>
    <t>The system above is</t>
  </si>
  <si>
    <t>Inverse of B</t>
  </si>
  <si>
    <t>Matrix C</t>
  </si>
  <si>
    <t xml:space="preserve">Determinant, det(C) </t>
  </si>
  <si>
    <t>Inverse of C</t>
  </si>
  <si>
    <t>BASED ON THE NUMBER OF UNKNOWNS AND RANK</t>
  </si>
  <si>
    <t>λ</t>
  </si>
  <si>
    <t>(</t>
  </si>
  <si>
    <t>(A</t>
  </si>
  <si>
    <t>λ I)</t>
  </si>
  <si>
    <t>)        *        (</t>
  </si>
  <si>
    <t>)        +        (</t>
  </si>
  <si>
    <t>)        =</t>
  </si>
  <si>
    <t>λ2</t>
  </si>
  <si>
    <t>λ^2</t>
  </si>
  <si>
    <t>λ       +</t>
  </si>
  <si>
    <t>λ1</t>
  </si>
  <si>
    <t>First Eigen Value</t>
  </si>
  <si>
    <t>Second Eigen Value</t>
  </si>
  <si>
    <t>(A-λI)v = 0</t>
  </si>
  <si>
    <t>Replacing the first eigen value in the equation (A-λI)v = 0</t>
  </si>
  <si>
    <t>(A-λ2)v = 0</t>
  </si>
  <si>
    <t>Replacing the second eigen value in the equation (A-λI)v = 0</t>
  </si>
  <si>
    <t>(v)</t>
  </si>
  <si>
    <t>v</t>
  </si>
  <si>
    <t>V1</t>
  </si>
  <si>
    <t>let y = 1</t>
  </si>
  <si>
    <t>Finding the power of the 2 by 2 Matrix</t>
  </si>
  <si>
    <t>A^n</t>
  </si>
  <si>
    <t>P</t>
  </si>
  <si>
    <t>B^n</t>
  </si>
  <si>
    <t>P^-1</t>
  </si>
  <si>
    <t>B ^ n</t>
  </si>
  <si>
    <t>The power n  =</t>
  </si>
  <si>
    <t>where :</t>
  </si>
  <si>
    <t xml:space="preserve">B </t>
  </si>
  <si>
    <t>Finding Inverse of P (P ^-1) :</t>
  </si>
  <si>
    <t>Det(P) =</t>
  </si>
  <si>
    <t>Adjoint =</t>
  </si>
  <si>
    <t>Minor =</t>
  </si>
  <si>
    <t>&gt;&gt;&gt;&gt;&gt;&gt;</t>
  </si>
  <si>
    <t>×</t>
  </si>
  <si>
    <t>Input 2 x 2 Matrix :</t>
  </si>
  <si>
    <t>Answer :</t>
  </si>
  <si>
    <t>2 more methods</t>
  </si>
  <si>
    <t>4 unknowns (4 x 4 matrix)</t>
  </si>
  <si>
    <t>EQ4</t>
  </si>
  <si>
    <t>d</t>
  </si>
  <si>
    <t>X</t>
  </si>
  <si>
    <t>FORWARD SUBSTITUTION</t>
  </si>
  <si>
    <t>ARRANGE EQUATIONS SO THAT THE MATRIX BECOMES DIAGONALLY DOMINANT</t>
  </si>
  <si>
    <t>Is the matrix diagonally dominant?</t>
  </si>
  <si>
    <t>CHECK</t>
  </si>
  <si>
    <t>(a11 * a22) - (a12 * a21)</t>
  </si>
  <si>
    <t>Sarrus's rule</t>
  </si>
  <si>
    <t xml:space="preserve">((a11 * a22 * a33) + (a21 * a32 * a13) + (a31 * a12 * a23))  </t>
  </si>
  <si>
    <t>((a13 * a22 * a31) + (a23 * a32 * a11) + (a33 * a12 * a21))</t>
  </si>
  <si>
    <t xml:space="preserve">METHOD: </t>
  </si>
  <si>
    <t>METHOD:</t>
  </si>
  <si>
    <t>1) Using formula : det(c) = a11m11 -a12m12 + a13m13 - a14m14</t>
  </si>
  <si>
    <t>2) Using the 3x3 matrix to calculate each minor (m11, m12, m13, m14)</t>
  </si>
  <si>
    <t>INVERSE OF MATRIX</t>
  </si>
  <si>
    <t>2x2 Matrix</t>
  </si>
  <si>
    <t>3x3 Matrix</t>
  </si>
  <si>
    <t>4x4 Matrix</t>
  </si>
  <si>
    <t>NOTE:</t>
  </si>
  <si>
    <t>DETERMINANT OF MATRIX</t>
  </si>
  <si>
    <t>(L</t>
  </si>
  <si>
    <t>U)</t>
  </si>
  <si>
    <t>(Here the first pivot cannot be zero as U11 = 0 creates errors)</t>
  </si>
  <si>
    <t>Writing in Matrix Form + Swapping if 1st pivot = 0</t>
  </si>
  <si>
    <t>Decompose A into L and U</t>
  </si>
  <si>
    <t>Assumption &gt;&gt;&gt;&gt;&gt; Elements along leading diagonal of Lower Triangular (L) = 1</t>
  </si>
  <si>
    <t>Finding the values of all elements in L and U :</t>
  </si>
  <si>
    <t>Equating (LU) with matrix A :</t>
  </si>
  <si>
    <t>Augmented matrix</t>
  </si>
  <si>
    <t>&lt;&lt;&lt;&lt;&lt;&lt;&lt;</t>
  </si>
  <si>
    <t>1)Error will occur if system of equations is unsolvable or has multiple solutions.</t>
  </si>
  <si>
    <t>Calculations:</t>
  </si>
  <si>
    <t>Calculations</t>
  </si>
  <si>
    <t>Errors will occur if the system of equations is unsolvable or has multiple solutions.</t>
  </si>
  <si>
    <t>From Calculation of Rank and Number of Unknowns:</t>
  </si>
  <si>
    <t>Answer</t>
  </si>
  <si>
    <t>Rank (A|B)=</t>
  </si>
  <si>
    <t>Swapping rows if second pivot = 0 (not with 1st row)</t>
  </si>
  <si>
    <t>Swapping rows if third pivot = 0 (not with 1st or 2nd row)</t>
  </si>
  <si>
    <t>Making third pivot element = 1</t>
  </si>
  <si>
    <t>Making second pivot element = 1</t>
  </si>
  <si>
    <t>Making first pivot element = 1</t>
  </si>
  <si>
    <t>Making all elements below and above second pivot = 0</t>
  </si>
  <si>
    <t>Making all elements below and above third pivot = 0</t>
  </si>
  <si>
    <t>Making fourth pivot element = 1 (if it is not equal to zero)</t>
  </si>
  <si>
    <t>Making all elements above fourth pivot = 0</t>
  </si>
  <si>
    <t xml:space="preserve">Reducing the augmented matrix (A part) </t>
  </si>
  <si>
    <t xml:space="preserve">CALCULATING the RANK OF augmented matrix (A part) </t>
  </si>
  <si>
    <t>Swapping 3rd row with any first (Rank=1) row if Rank(row3) = 0</t>
  </si>
  <si>
    <t>Swapping 2nd row with any first (Rank=1) row if Rank(row2) = 0</t>
  </si>
  <si>
    <t>Swapping 1st row with any first (Rank=1) row if Rank(row1) = 0</t>
  </si>
  <si>
    <t xml:space="preserve">REDUCING THE augmented matrix (B part) </t>
  </si>
  <si>
    <t>(6 comparisons)</t>
  </si>
  <si>
    <t xml:space="preserve">REDUCed ROW ECHELON FORM : </t>
  </si>
  <si>
    <t xml:space="preserve">NOTE: </t>
  </si>
  <si>
    <t>13th</t>
  </si>
  <si>
    <t>Large Power Matrices</t>
  </si>
  <si>
    <t>Power of 2x2 Matrix :</t>
  </si>
  <si>
    <t>Derivation:</t>
  </si>
  <si>
    <t>Assuming v cannot be zero, then (A - λI) is not invertible , hence its determinant = 0</t>
  </si>
  <si>
    <t xml:space="preserve">|A </t>
  </si>
  <si>
    <t>I |</t>
  </si>
  <si>
    <t>Calculating Eigen Values of Matrix A (λ)</t>
  </si>
  <si>
    <t>HENCE:</t>
  </si>
  <si>
    <t>Calculating Eigen Vectors of Matrix A (V)</t>
  </si>
  <si>
    <t xml:space="preserve">let y = 1 </t>
  </si>
  <si>
    <t>(if equation is homogenous)</t>
  </si>
  <si>
    <t>Let v =</t>
  </si>
  <si>
    <t>&lt;&lt;&lt;&lt;</t>
  </si>
  <si>
    <t xml:space="preserve">Cofactor Matrix </t>
  </si>
  <si>
    <t>Inverse of P</t>
  </si>
  <si>
    <t>Input Equations:</t>
  </si>
  <si>
    <t>Input Equations in Matrix Form:</t>
  </si>
  <si>
    <t>Assumption &gt;&gt;&gt;&gt;&gt; Elements along leading diagonal of Upper Triangular (U) = 1</t>
  </si>
  <si>
    <t>(Here the first pivot cannot be zero as L11 = 0 creates errors)</t>
  </si>
  <si>
    <t>If quadratic equation is unsolvable, it will display NUM error on the eigen values</t>
  </si>
  <si>
    <t>L41</t>
  </si>
  <si>
    <t>L42</t>
  </si>
  <si>
    <t>L43</t>
  </si>
  <si>
    <t>L44</t>
  </si>
  <si>
    <t>U14</t>
  </si>
  <si>
    <t>U24</t>
  </si>
  <si>
    <t>U34</t>
  </si>
  <si>
    <t>U44</t>
  </si>
  <si>
    <t>L21U13 + L22U23</t>
  </si>
  <si>
    <t>L21U14 + L22U24</t>
  </si>
  <si>
    <t>L31U12 + L32U22</t>
  </si>
  <si>
    <t>L31U13 + L32U23+ L33U33</t>
  </si>
  <si>
    <t>L31U14 + L32U24 + L33U34</t>
  </si>
  <si>
    <t>L41U11</t>
  </si>
  <si>
    <t>L41U12 + L42U22</t>
  </si>
  <si>
    <t>L41U13 + L42U23 + L43U33</t>
  </si>
  <si>
    <t>L41U14 + L42U24 + L43U34 + L44U44</t>
  </si>
  <si>
    <t xml:space="preserve">L44 = </t>
  </si>
  <si>
    <t>L21U13 + U23</t>
  </si>
  <si>
    <t>L21U14 + U24</t>
  </si>
  <si>
    <t>L31U13 + L32U23+ U33</t>
  </si>
  <si>
    <t>L31U14 + L32U24 + U34</t>
  </si>
  <si>
    <t>L41U14 + L42U24 + L43U34 + U44</t>
  </si>
  <si>
    <t>U14 =</t>
  </si>
  <si>
    <t>U24 =</t>
  </si>
  <si>
    <t>U34 =</t>
  </si>
  <si>
    <t>U44 =</t>
  </si>
  <si>
    <t>L44=</t>
  </si>
  <si>
    <t>L43 =</t>
  </si>
  <si>
    <t>L42 =</t>
  </si>
  <si>
    <t>L22 =</t>
  </si>
  <si>
    <t>L41 =</t>
  </si>
  <si>
    <t>L21 =</t>
  </si>
  <si>
    <t>Answer--&gt;</t>
  </si>
  <si>
    <t>2)Change only the values of equation (not the matrices ,calculation part or signs).</t>
  </si>
  <si>
    <t>Swapping rows if second pivot is zero</t>
  </si>
  <si>
    <t>Making all elements below second pivot = 0</t>
  </si>
  <si>
    <t>Making all elements below third pivot = 0</t>
  </si>
  <si>
    <t>Swapping rows if fourth pivot is zero</t>
  </si>
  <si>
    <t>Making all elements above second pivot = 0</t>
  </si>
  <si>
    <t>Calculate fourth term from fourth row</t>
  </si>
  <si>
    <t>Use 3rd row + 4th value</t>
  </si>
  <si>
    <t>Use 2nd row + (3rd and 4th value)</t>
  </si>
  <si>
    <t>Use 1st row + (2nd, 3rd, 4th value)</t>
  </si>
  <si>
    <t>Use 3rd row + (1st, 2nd value)</t>
  </si>
  <si>
    <t>Use 4th row + (1st, 2nd, 3rd value)</t>
  </si>
  <si>
    <t>INPUT:</t>
  </si>
  <si>
    <t>Here all the Rank 0 (rows) are sent to the bottom , if not already (For clearer representation)</t>
  </si>
  <si>
    <t>Z4</t>
  </si>
  <si>
    <t>Z4 =</t>
  </si>
  <si>
    <t>Input Equations in Matrix Form(3x3):</t>
  </si>
  <si>
    <t>Input Equations in Matrix Form(4x4):</t>
  </si>
  <si>
    <t>Errors will also occur if leading diagonal coefficients of L or U = 0 when doing calculations</t>
  </si>
  <si>
    <t>CALCULATIONS FOR 3x3 :</t>
  </si>
  <si>
    <t>CALCULATIONS FOR 4x4 :</t>
  </si>
  <si>
    <t>Use 2nd row + (4th and 3rd value)</t>
  </si>
  <si>
    <t>Use 1st row + (4th ,3rd, 2nd value)</t>
  </si>
  <si>
    <t xml:space="preserve">U44 = </t>
  </si>
  <si>
    <t>L11U14</t>
  </si>
  <si>
    <t>L31U12 + L32</t>
  </si>
  <si>
    <t>L41U12 + L42</t>
  </si>
  <si>
    <t>L41U13 + L42U23 + L43</t>
  </si>
  <si>
    <t>L41U14 + L42U24 + L43U34 + L44</t>
  </si>
  <si>
    <t>L31U13 + L32U23+ L33</t>
  </si>
  <si>
    <t>Checks whether the leading diagonal element is greater than the sum of the absolute values of other elements in a row</t>
  </si>
  <si>
    <t>4x4 Matrix (Without automating with macros)</t>
  </si>
  <si>
    <t>M14</t>
  </si>
  <si>
    <t>M24</t>
  </si>
  <si>
    <t>M41</t>
  </si>
  <si>
    <t>M34</t>
  </si>
  <si>
    <t>M42</t>
  </si>
  <si>
    <t>M43</t>
  </si>
  <si>
    <t>M44</t>
  </si>
  <si>
    <t xml:space="preserve">M11 </t>
  </si>
  <si>
    <t>C11</t>
  </si>
  <si>
    <t>C12</t>
  </si>
  <si>
    <t>C13</t>
  </si>
  <si>
    <t>C14</t>
  </si>
  <si>
    <t>C21</t>
  </si>
  <si>
    <t>C22</t>
  </si>
  <si>
    <t>C23</t>
  </si>
  <si>
    <t>C24</t>
  </si>
  <si>
    <t>C31</t>
  </si>
  <si>
    <t>C32</t>
  </si>
  <si>
    <t>C33</t>
  </si>
  <si>
    <t>C34</t>
  </si>
  <si>
    <t>C41</t>
  </si>
  <si>
    <t>C42</t>
  </si>
  <si>
    <t>C43</t>
  </si>
  <si>
    <t>C44</t>
  </si>
  <si>
    <t xml:space="preserve">Determinant,det(C) </t>
  </si>
  <si>
    <t xml:space="preserve">det(C) = </t>
  </si>
  <si>
    <t>Name</t>
  </si>
  <si>
    <t>University of Mauritius</t>
  </si>
  <si>
    <t>Student ID</t>
  </si>
  <si>
    <t>Module</t>
  </si>
  <si>
    <t>COMPUTATIONAL MATHEMATICS 1043(Y)</t>
  </si>
  <si>
    <t>Course</t>
  </si>
  <si>
    <t>BSC (HONS) COMPUTER SCIENCE</t>
  </si>
  <si>
    <t>MAKHUN Lokeshav Anand</t>
  </si>
  <si>
    <t>A1</t>
  </si>
  <si>
    <t>Group</t>
  </si>
  <si>
    <t>Cohort</t>
  </si>
  <si>
    <t>Year 1 2025/2026</t>
  </si>
  <si>
    <t>det(C) =</t>
  </si>
  <si>
    <t>&lt;&lt;Using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</si>
</sst>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rgb="FF000000"/>
      <name val="Aptos Narrow"/>
      <family val="2"/>
    </font>
    <font>
      <sz val="18"/>
      <color theme="3"/>
      <name val="Aptos Display"/>
      <family val="2"/>
      <scheme val="major"/>
    </font>
    <font>
      <sz val="11"/>
      <color rgb="FF9C000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u/>
      <sz val="28"/>
      <color rgb="FFFF0000"/>
      <name val="Aptos Narrow"/>
      <family val="2"/>
      <scheme val="minor"/>
    </font>
    <font>
      <b/>
      <u/>
      <sz val="18"/>
      <color rgb="FFFF0000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u/>
      <sz val="15"/>
      <color theme="3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theme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8"/>
      <color rgb="FFFF0000"/>
      <name val="Algerian"/>
      <family val="5"/>
    </font>
    <font>
      <sz val="11"/>
      <color theme="1"/>
      <name val="Algerian"/>
      <family val="5"/>
    </font>
    <font>
      <u/>
      <sz val="16"/>
      <color theme="1"/>
      <name val="Algerian"/>
      <family val="5"/>
    </font>
    <font>
      <u/>
      <sz val="16"/>
      <color theme="3"/>
      <name val="Algerian"/>
      <family val="5"/>
    </font>
    <font>
      <sz val="11"/>
      <color rgb="FF9C5700"/>
      <name val="Algerian"/>
      <family val="5"/>
    </font>
    <font>
      <u/>
      <sz val="11"/>
      <color theme="1"/>
      <name val="Algerian"/>
      <family val="5"/>
    </font>
    <font>
      <b/>
      <u/>
      <sz val="11"/>
      <color theme="1"/>
      <name val="Algerian"/>
      <family val="5"/>
    </font>
    <font>
      <u/>
      <sz val="11"/>
      <color rgb="FF9C0006"/>
      <name val="Algerian"/>
      <family val="5"/>
    </font>
    <font>
      <sz val="14"/>
      <color theme="3"/>
      <name val="Algerian"/>
      <family val="5"/>
    </font>
    <font>
      <u/>
      <sz val="14"/>
      <color theme="1"/>
      <name val="Algerian"/>
      <family val="5"/>
    </font>
    <font>
      <u/>
      <sz val="12"/>
      <color theme="1"/>
      <name val="Algerian"/>
      <family val="5"/>
    </font>
    <font>
      <u/>
      <sz val="11"/>
      <color rgb="FFFF0000"/>
      <name val="Algerian"/>
      <family val="5"/>
    </font>
    <font>
      <u/>
      <sz val="12"/>
      <color theme="3"/>
      <name val="Algerian"/>
      <family val="5"/>
    </font>
    <font>
      <b/>
      <sz val="14"/>
      <color theme="1"/>
      <name val="Aptos Narrow"/>
      <family val="2"/>
      <scheme val="minor"/>
    </font>
    <font>
      <u/>
      <sz val="15"/>
      <color theme="3"/>
      <name val="Algerian"/>
      <family val="5"/>
    </font>
    <font>
      <u/>
      <sz val="24"/>
      <color rgb="FFFF0000"/>
      <name val="Algerian"/>
      <family val="5"/>
    </font>
    <font>
      <b/>
      <u/>
      <sz val="24"/>
      <color theme="3"/>
      <name val="Aptos Display"/>
      <family val="2"/>
      <scheme val="major"/>
    </font>
    <font>
      <sz val="12"/>
      <color theme="1"/>
      <name val="Aptos Narrow"/>
      <family val="2"/>
      <scheme val="minor"/>
    </font>
    <font>
      <sz val="16"/>
      <color theme="1"/>
      <name val="Algerian"/>
      <family val="5"/>
    </font>
    <font>
      <sz val="14"/>
      <color theme="1"/>
      <name val="Algerian"/>
      <family val="5"/>
    </font>
    <font>
      <u/>
      <sz val="11"/>
      <color rgb="FF9C5700"/>
      <name val="Algerian"/>
      <family val="5"/>
    </font>
    <font>
      <u/>
      <sz val="20"/>
      <color theme="3"/>
      <name val="Algerian"/>
      <family val="5"/>
    </font>
    <font>
      <sz val="2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u/>
      <sz val="22"/>
      <color theme="3"/>
      <name val="Algerian"/>
      <family val="5"/>
    </font>
    <font>
      <b/>
      <sz val="18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6"/>
      <color rgb="FF006100"/>
      <name val="Aptos Narrow"/>
      <family val="2"/>
      <scheme val="minor"/>
    </font>
    <font>
      <sz val="14"/>
      <color rgb="FF006100"/>
      <name val="Aptos Narrow"/>
      <family val="2"/>
      <scheme val="minor"/>
    </font>
    <font>
      <sz val="18"/>
      <color theme="1"/>
      <name val="Algerian"/>
      <family val="5"/>
    </font>
    <font>
      <sz val="16"/>
      <color theme="1"/>
      <name val="Bahnschrift"/>
      <family val="2"/>
    </font>
  </fonts>
  <fills count="2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965"/>
        <bgColor indexed="64"/>
      </patternFill>
    </fill>
    <fill>
      <patternFill patternType="solid">
        <fgColor rgb="FFFEF2CB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rgb="FF7F7F7F"/>
      </left>
      <right/>
      <top/>
      <bottom/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1" fillId="6" borderId="3" applyNumberFormat="0" applyFont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8" borderId="0" applyNumberFormat="0" applyBorder="0" applyAlignment="0" applyProtection="0"/>
    <xf numFmtId="0" fontId="14" fillId="0" borderId="32" applyNumberFormat="0" applyFill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50" fillId="0" borderId="0"/>
  </cellStyleXfs>
  <cellXfs count="635">
    <xf numFmtId="0" fontId="0" fillId="0" borderId="0" xfId="0"/>
    <xf numFmtId="0" fontId="6" fillId="5" borderId="1" xfId="5"/>
    <xf numFmtId="0" fontId="0" fillId="0" borderId="0" xfId="0" applyAlignment="1">
      <alignment horizontal="center"/>
    </xf>
    <xf numFmtId="0" fontId="7" fillId="0" borderId="0" xfId="7"/>
    <xf numFmtId="0" fontId="6" fillId="5" borderId="8" xfId="5" applyBorder="1" applyAlignment="1">
      <alignment horizontal="center"/>
    </xf>
    <xf numFmtId="0" fontId="6" fillId="5" borderId="9" xfId="5" applyBorder="1" applyAlignment="1">
      <alignment horizontal="center"/>
    </xf>
    <xf numFmtId="0" fontId="6" fillId="5" borderId="4" xfId="5" applyBorder="1" applyAlignment="1">
      <alignment horizontal="center"/>
    </xf>
    <xf numFmtId="0" fontId="6" fillId="5" borderId="5" xfId="5" applyBorder="1" applyAlignment="1">
      <alignment horizontal="center"/>
    </xf>
    <xf numFmtId="0" fontId="6" fillId="5" borderId="6" xfId="5" applyBorder="1" applyAlignment="1">
      <alignment horizontal="center"/>
    </xf>
    <xf numFmtId="0" fontId="6" fillId="5" borderId="18" xfId="5" applyBorder="1" applyAlignment="1">
      <alignment horizontal="center"/>
    </xf>
    <xf numFmtId="0" fontId="6" fillId="5" borderId="19" xfId="5" applyBorder="1" applyAlignment="1">
      <alignment horizontal="center"/>
    </xf>
    <xf numFmtId="0" fontId="6" fillId="5" borderId="20" xfId="5" applyBorder="1" applyAlignment="1">
      <alignment horizontal="center"/>
    </xf>
    <xf numFmtId="0" fontId="6" fillId="5" borderId="21" xfId="5" applyBorder="1" applyAlignment="1">
      <alignment horizontal="center"/>
    </xf>
    <xf numFmtId="0" fontId="6" fillId="5" borderId="22" xfId="5" applyBorder="1" applyAlignment="1">
      <alignment horizontal="center"/>
    </xf>
    <xf numFmtId="0" fontId="2" fillId="2" borderId="10" xfId="1" applyBorder="1" applyAlignment="1">
      <alignment horizontal="center"/>
    </xf>
    <xf numFmtId="0" fontId="2" fillId="2" borderId="11" xfId="1" applyBorder="1" applyAlignment="1">
      <alignment horizontal="center"/>
    </xf>
    <xf numFmtId="0" fontId="2" fillId="2" borderId="12" xfId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17" xfId="1" applyBorder="1" applyAlignment="1">
      <alignment horizontal="center"/>
    </xf>
    <xf numFmtId="0" fontId="12" fillId="0" borderId="0" xfId="0" applyFont="1"/>
    <xf numFmtId="0" fontId="3" fillId="3" borderId="7" xfId="2" applyBorder="1" applyAlignment="1">
      <alignment horizontal="center"/>
    </xf>
    <xf numFmtId="0" fontId="3" fillId="3" borderId="24" xfId="2" applyBorder="1" applyAlignment="1">
      <alignment horizontal="center"/>
    </xf>
    <xf numFmtId="0" fontId="3" fillId="3" borderId="27" xfId="2" applyBorder="1" applyAlignment="1">
      <alignment horizontal="center"/>
    </xf>
    <xf numFmtId="0" fontId="0" fillId="0" borderId="31" xfId="0" applyBorder="1" applyAlignment="1">
      <alignment horizontal="center"/>
    </xf>
    <xf numFmtId="0" fontId="3" fillId="3" borderId="26" xfId="2" applyBorder="1" applyAlignment="1">
      <alignment horizontal="center"/>
    </xf>
    <xf numFmtId="0" fontId="2" fillId="2" borderId="0" xfId="1" applyBorder="1" applyAlignment="1">
      <alignment horizontal="center"/>
    </xf>
    <xf numFmtId="0" fontId="2" fillId="2" borderId="13" xfId="1" applyBorder="1" applyAlignment="1">
      <alignment horizontal="center"/>
    </xf>
    <xf numFmtId="0" fontId="2" fillId="2" borderId="14" xfId="1" applyBorder="1" applyAlignment="1">
      <alignment horizontal="center"/>
    </xf>
    <xf numFmtId="0" fontId="3" fillId="3" borderId="25" xfId="2" applyBorder="1" applyAlignment="1">
      <alignment horizontal="center"/>
    </xf>
    <xf numFmtId="0" fontId="3" fillId="3" borderId="30" xfId="2" applyBorder="1" applyAlignment="1">
      <alignment horizontal="center"/>
    </xf>
    <xf numFmtId="0" fontId="3" fillId="3" borderId="28" xfId="2" applyBorder="1" applyAlignment="1">
      <alignment horizontal="center"/>
    </xf>
    <xf numFmtId="0" fontId="3" fillId="3" borderId="29" xfId="2" applyBorder="1" applyAlignment="1">
      <alignment horizontal="center"/>
    </xf>
    <xf numFmtId="0" fontId="3" fillId="3" borderId="10" xfId="2" applyBorder="1" applyAlignment="1">
      <alignment horizontal="center"/>
    </xf>
    <xf numFmtId="0" fontId="3" fillId="3" borderId="11" xfId="2" applyBorder="1" applyAlignment="1">
      <alignment horizontal="center"/>
    </xf>
    <xf numFmtId="0" fontId="3" fillId="3" borderId="13" xfId="2" applyBorder="1" applyAlignment="1">
      <alignment horizontal="center"/>
    </xf>
    <xf numFmtId="0" fontId="3" fillId="3" borderId="0" xfId="2" applyBorder="1" applyAlignment="1">
      <alignment horizontal="center"/>
    </xf>
    <xf numFmtId="0" fontId="3" fillId="3" borderId="15" xfId="2" applyBorder="1" applyAlignment="1">
      <alignment horizontal="center"/>
    </xf>
    <xf numFmtId="0" fontId="3" fillId="3" borderId="16" xfId="2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3" fillId="3" borderId="12" xfId="2" applyBorder="1" applyAlignment="1">
      <alignment horizontal="center"/>
    </xf>
    <xf numFmtId="0" fontId="3" fillId="3" borderId="14" xfId="2" applyBorder="1" applyAlignment="1">
      <alignment horizontal="center"/>
    </xf>
    <xf numFmtId="0" fontId="3" fillId="3" borderId="17" xfId="2" applyBorder="1" applyAlignment="1">
      <alignment horizontal="center"/>
    </xf>
    <xf numFmtId="0" fontId="2" fillId="2" borderId="33" xfId="1" applyBorder="1"/>
    <xf numFmtId="0" fontId="2" fillId="2" borderId="34" xfId="1" applyBorder="1"/>
    <xf numFmtId="0" fontId="2" fillId="2" borderId="35" xfId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1" xfId="0" applyBorder="1" applyAlignment="1">
      <alignment horizontal="center"/>
    </xf>
    <xf numFmtId="0" fontId="26" fillId="6" borderId="23" xfId="6" applyFont="1" applyBorder="1"/>
    <xf numFmtId="0" fontId="23" fillId="6" borderId="45" xfId="6" applyFont="1" applyBorder="1" applyAlignment="1">
      <alignment horizontal="center" vertical="center"/>
    </xf>
    <xf numFmtId="0" fontId="29" fillId="4" borderId="40" xfId="3" applyFont="1" applyBorder="1"/>
    <xf numFmtId="0" fontId="29" fillId="4" borderId="33" xfId="3" applyFont="1" applyBorder="1"/>
    <xf numFmtId="0" fontId="6" fillId="5" borderId="0" xfId="5" applyBorder="1" applyAlignment="1">
      <alignment horizontal="center"/>
    </xf>
    <xf numFmtId="0" fontId="6" fillId="5" borderId="10" xfId="5" applyBorder="1" applyAlignment="1">
      <alignment horizontal="center"/>
    </xf>
    <xf numFmtId="0" fontId="6" fillId="5" borderId="12" xfId="5" applyBorder="1" applyAlignment="1">
      <alignment horizontal="center"/>
    </xf>
    <xf numFmtId="0" fontId="6" fillId="5" borderId="15" xfId="5" applyBorder="1" applyAlignment="1">
      <alignment horizontal="center"/>
    </xf>
    <xf numFmtId="0" fontId="6" fillId="5" borderId="17" xfId="5" applyBorder="1" applyAlignment="1">
      <alignment horizontal="center"/>
    </xf>
    <xf numFmtId="0" fontId="6" fillId="5" borderId="11" xfId="5" applyBorder="1" applyAlignment="1">
      <alignment horizontal="center"/>
    </xf>
    <xf numFmtId="0" fontId="6" fillId="5" borderId="13" xfId="5" applyBorder="1" applyAlignment="1">
      <alignment horizontal="center"/>
    </xf>
    <xf numFmtId="0" fontId="6" fillId="5" borderId="14" xfId="5" applyBorder="1" applyAlignment="1">
      <alignment horizontal="center"/>
    </xf>
    <xf numFmtId="0" fontId="6" fillId="5" borderId="16" xfId="5" applyBorder="1" applyAlignment="1">
      <alignment horizontal="center"/>
    </xf>
    <xf numFmtId="0" fontId="2" fillId="7" borderId="48" xfId="6" applyFont="1" applyFill="1" applyBorder="1" applyAlignment="1">
      <alignment horizontal="center"/>
    </xf>
    <xf numFmtId="0" fontId="2" fillId="7" borderId="49" xfId="1" applyFill="1" applyBorder="1" applyAlignment="1">
      <alignment horizontal="center"/>
    </xf>
    <xf numFmtId="0" fontId="2" fillId="2" borderId="33" xfId="1" applyBorder="1" applyAlignment="1">
      <alignment horizontal="center"/>
    </xf>
    <xf numFmtId="0" fontId="2" fillId="2" borderId="35" xfId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6" fillId="5" borderId="50" xfId="5" applyBorder="1" applyAlignment="1">
      <alignment horizontal="center"/>
    </xf>
    <xf numFmtId="0" fontId="6" fillId="5" borderId="51" xfId="5" applyBorder="1" applyAlignment="1">
      <alignment horizontal="center"/>
    </xf>
    <xf numFmtId="0" fontId="11" fillId="2" borderId="10" xfId="1" applyFont="1" applyBorder="1" applyAlignment="1">
      <alignment horizontal="center"/>
    </xf>
    <xf numFmtId="0" fontId="11" fillId="2" borderId="15" xfId="1" applyFont="1" applyBorder="1" applyAlignment="1">
      <alignment horizontal="center"/>
    </xf>
    <xf numFmtId="0" fontId="2" fillId="2" borderId="39" xfId="1" applyBorder="1" applyAlignment="1">
      <alignment horizontal="center"/>
    </xf>
    <xf numFmtId="0" fontId="3" fillId="3" borderId="52" xfId="2" applyBorder="1" applyAlignment="1">
      <alignment horizontal="center"/>
    </xf>
    <xf numFmtId="0" fontId="3" fillId="3" borderId="53" xfId="2" applyBorder="1" applyAlignment="1">
      <alignment horizontal="center"/>
    </xf>
    <xf numFmtId="0" fontId="3" fillId="3" borderId="54" xfId="2" applyBorder="1" applyAlignment="1">
      <alignment horizontal="center"/>
    </xf>
    <xf numFmtId="0" fontId="3" fillId="3" borderId="55" xfId="2" applyBorder="1" applyAlignment="1">
      <alignment horizontal="center"/>
    </xf>
    <xf numFmtId="0" fontId="3" fillId="3" borderId="56" xfId="2" applyBorder="1" applyAlignment="1">
      <alignment horizontal="center"/>
    </xf>
    <xf numFmtId="0" fontId="3" fillId="3" borderId="57" xfId="2" applyBorder="1" applyAlignment="1">
      <alignment horizontal="center"/>
    </xf>
    <xf numFmtId="0" fontId="3" fillId="3" borderId="58" xfId="2" applyBorder="1" applyAlignment="1">
      <alignment horizontal="center"/>
    </xf>
    <xf numFmtId="0" fontId="6" fillId="5" borderId="1" xfId="5" applyAlignment="1">
      <alignment horizontal="center"/>
    </xf>
    <xf numFmtId="0" fontId="1" fillId="13" borderId="10" xfId="14" applyBorder="1" applyAlignment="1">
      <alignment horizontal="center"/>
    </xf>
    <xf numFmtId="0" fontId="1" fillId="13" borderId="11" xfId="14" applyBorder="1" applyAlignment="1">
      <alignment horizontal="center"/>
    </xf>
    <xf numFmtId="0" fontId="1" fillId="13" borderId="12" xfId="14" applyBorder="1" applyAlignment="1">
      <alignment horizontal="center"/>
    </xf>
    <xf numFmtId="0" fontId="1" fillId="13" borderId="13" xfId="14" applyBorder="1" applyAlignment="1">
      <alignment horizontal="center"/>
    </xf>
    <xf numFmtId="0" fontId="1" fillId="13" borderId="0" xfId="14" applyBorder="1" applyAlignment="1">
      <alignment horizontal="center"/>
    </xf>
    <xf numFmtId="0" fontId="1" fillId="13" borderId="14" xfId="14" applyBorder="1" applyAlignment="1">
      <alignment horizontal="center"/>
    </xf>
    <xf numFmtId="0" fontId="1" fillId="13" borderId="15" xfId="14" applyBorder="1" applyAlignment="1">
      <alignment horizontal="center"/>
    </xf>
    <xf numFmtId="0" fontId="1" fillId="13" borderId="16" xfId="14" applyBorder="1" applyAlignment="1">
      <alignment horizontal="center"/>
    </xf>
    <xf numFmtId="0" fontId="1" fillId="13" borderId="17" xfId="14" applyBorder="1" applyAlignment="1">
      <alignment horizontal="center"/>
    </xf>
    <xf numFmtId="0" fontId="1" fillId="13" borderId="50" xfId="14" applyBorder="1" applyAlignment="1">
      <alignment horizontal="center"/>
    </xf>
    <xf numFmtId="0" fontId="1" fillId="13" borderId="59" xfId="14" applyBorder="1" applyAlignment="1">
      <alignment horizontal="center"/>
    </xf>
    <xf numFmtId="0" fontId="1" fillId="13" borderId="51" xfId="14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3" fillId="3" borderId="33" xfId="2" applyBorder="1" applyAlignment="1">
      <alignment horizontal="center"/>
    </xf>
    <xf numFmtId="0" fontId="3" fillId="3" borderId="35" xfId="2" applyBorder="1" applyAlignment="1">
      <alignment horizontal="center"/>
    </xf>
    <xf numFmtId="0" fontId="1" fillId="15" borderId="33" xfId="16" applyBorder="1" applyAlignment="1">
      <alignment horizontal="center"/>
    </xf>
    <xf numFmtId="0" fontId="1" fillId="15" borderId="34" xfId="16" applyBorder="1" applyAlignment="1">
      <alignment horizontal="center"/>
    </xf>
    <xf numFmtId="0" fontId="1" fillId="15" borderId="35" xfId="16" applyBorder="1" applyAlignment="1">
      <alignment horizontal="center"/>
    </xf>
    <xf numFmtId="0" fontId="0" fillId="15" borderId="34" xfId="16" applyFont="1" applyBorder="1" applyAlignment="1">
      <alignment horizontal="center"/>
    </xf>
    <xf numFmtId="0" fontId="0" fillId="0" borderId="0" xfId="0" applyAlignment="1">
      <alignment horizontal="left"/>
    </xf>
    <xf numFmtId="0" fontId="0" fillId="15" borderId="33" xfId="16" applyFont="1" applyBorder="1" applyAlignment="1">
      <alignment horizontal="center"/>
    </xf>
    <xf numFmtId="0" fontId="7" fillId="0" borderId="0" xfId="7" applyBorder="1"/>
    <xf numFmtId="0" fontId="7" fillId="0" borderId="0" xfId="7" applyBorder="1" applyAlignment="1">
      <alignment horizontal="left"/>
    </xf>
    <xf numFmtId="0" fontId="7" fillId="0" borderId="0" xfId="7" applyBorder="1" applyAlignment="1">
      <alignment horizontal="center"/>
    </xf>
    <xf numFmtId="0" fontId="7" fillId="0" borderId="13" xfId="7" applyBorder="1"/>
    <xf numFmtId="0" fontId="1" fillId="15" borderId="34" xfId="16" applyBorder="1"/>
    <xf numFmtId="0" fontId="1" fillId="15" borderId="34" xfId="16" applyBorder="1" applyAlignment="1">
      <alignment horizontal="center" vertical="center"/>
    </xf>
    <xf numFmtId="0" fontId="23" fillId="15" borderId="34" xfId="16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38" fillId="0" borderId="0" xfId="0" applyFont="1" applyAlignment="1">
      <alignment horizontal="center"/>
    </xf>
    <xf numFmtId="0" fontId="0" fillId="0" borderId="50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15" borderId="34" xfId="16" applyFont="1" applyBorder="1" applyAlignment="1">
      <alignment horizontal="center"/>
    </xf>
    <xf numFmtId="0" fontId="2" fillId="2" borderId="34" xfId="1" applyBorder="1" applyAlignment="1">
      <alignment horizontal="center"/>
    </xf>
    <xf numFmtId="0" fontId="23" fillId="0" borderId="0" xfId="0" applyFont="1" applyAlignment="1">
      <alignment vertical="center"/>
    </xf>
    <xf numFmtId="0" fontId="3" fillId="3" borderId="39" xfId="2" applyBorder="1" applyAlignment="1">
      <alignment horizontal="center"/>
    </xf>
    <xf numFmtId="0" fontId="0" fillId="0" borderId="39" xfId="0" applyBorder="1" applyAlignment="1">
      <alignment horizontal="center"/>
    </xf>
    <xf numFmtId="0" fontId="20" fillId="0" borderId="11" xfId="11" applyFont="1" applyBorder="1" applyAlignment="1">
      <alignment horizontal="center"/>
    </xf>
    <xf numFmtId="0" fontId="20" fillId="0" borderId="0" xfId="11" applyFont="1" applyBorder="1" applyAlignment="1">
      <alignment horizontal="center"/>
    </xf>
    <xf numFmtId="0" fontId="20" fillId="0" borderId="16" xfId="11" applyFont="1" applyBorder="1" applyAlignment="1">
      <alignment horizontal="center"/>
    </xf>
    <xf numFmtId="0" fontId="1" fillId="12" borderId="7" xfId="13" applyBorder="1" applyAlignment="1">
      <alignment horizontal="center"/>
    </xf>
    <xf numFmtId="0" fontId="13" fillId="0" borderId="13" xfId="8" applyFont="1" applyBorder="1"/>
    <xf numFmtId="0" fontId="39" fillId="0" borderId="13" xfId="0" applyFont="1" applyBorder="1" applyAlignment="1">
      <alignment horizontal="center"/>
    </xf>
    <xf numFmtId="0" fontId="7" fillId="0" borderId="14" xfId="7" applyBorder="1"/>
    <xf numFmtId="0" fontId="1" fillId="13" borderId="34" xfId="14" applyBorder="1" applyAlignment="1">
      <alignment horizontal="center"/>
    </xf>
    <xf numFmtId="0" fontId="1" fillId="13" borderId="35" xfId="14" applyBorder="1" applyAlignment="1">
      <alignment horizontal="center"/>
    </xf>
    <xf numFmtId="0" fontId="1" fillId="13" borderId="39" xfId="14" applyBorder="1"/>
    <xf numFmtId="0" fontId="5" fillId="5" borderId="63" xfId="4" applyBorder="1" applyAlignment="1">
      <alignment horizontal="right"/>
    </xf>
    <xf numFmtId="0" fontId="29" fillId="4" borderId="1" xfId="3" applyFont="1"/>
    <xf numFmtId="0" fontId="14" fillId="6" borderId="64" xfId="6" applyFont="1" applyBorder="1"/>
    <xf numFmtId="0" fontId="4" fillId="4" borderId="19" xfId="3" applyBorder="1" applyAlignment="1">
      <alignment horizontal="center"/>
    </xf>
    <xf numFmtId="0" fontId="14" fillId="6" borderId="3" xfId="6" applyFont="1"/>
    <xf numFmtId="0" fontId="4" fillId="4" borderId="1" xfId="3" applyAlignment="1">
      <alignment horizontal="center"/>
    </xf>
    <xf numFmtId="0" fontId="4" fillId="4" borderId="1" xfId="3"/>
    <xf numFmtId="0" fontId="2" fillId="2" borderId="65" xfId="1" applyBorder="1" applyAlignment="1">
      <alignment horizontal="center"/>
    </xf>
    <xf numFmtId="0" fontId="3" fillId="3" borderId="66" xfId="2" applyBorder="1" applyAlignment="1">
      <alignment horizontal="center"/>
    </xf>
    <xf numFmtId="0" fontId="0" fillId="0" borderId="61" xfId="0" applyBorder="1" applyAlignment="1">
      <alignment horizontal="center"/>
    </xf>
    <xf numFmtId="0" fontId="10" fillId="8" borderId="39" xfId="9" applyBorder="1" applyAlignment="1">
      <alignment horizontal="center"/>
    </xf>
    <xf numFmtId="0" fontId="10" fillId="8" borderId="33" xfId="9" applyBorder="1" applyAlignment="1">
      <alignment horizontal="center"/>
    </xf>
    <xf numFmtId="0" fontId="2" fillId="2" borderId="67" xfId="1" applyBorder="1" applyAlignment="1">
      <alignment horizontal="center"/>
    </xf>
    <xf numFmtId="0" fontId="10" fillId="8" borderId="54" xfId="9" applyBorder="1" applyAlignment="1">
      <alignment horizontal="center"/>
    </xf>
    <xf numFmtId="0" fontId="3" fillId="3" borderId="70" xfId="2" applyBorder="1" applyAlignment="1">
      <alignment horizontal="center"/>
    </xf>
    <xf numFmtId="0" fontId="3" fillId="3" borderId="68" xfId="2" applyBorder="1" applyAlignment="1">
      <alignment horizontal="center"/>
    </xf>
    <xf numFmtId="0" fontId="3" fillId="3" borderId="71" xfId="2" applyBorder="1" applyAlignment="1">
      <alignment horizontal="center"/>
    </xf>
    <xf numFmtId="0" fontId="3" fillId="3" borderId="69" xfId="2" applyBorder="1" applyAlignment="1">
      <alignment horizontal="center"/>
    </xf>
    <xf numFmtId="0" fontId="3" fillId="3" borderId="72" xfId="2" applyBorder="1" applyAlignment="1">
      <alignment horizontal="center"/>
    </xf>
    <xf numFmtId="0" fontId="0" fillId="0" borderId="31" xfId="0" applyBorder="1"/>
    <xf numFmtId="0" fontId="6" fillId="5" borderId="73" xfId="5" applyBorder="1" applyAlignment="1">
      <alignment horizontal="center"/>
    </xf>
    <xf numFmtId="0" fontId="6" fillId="5" borderId="74" xfId="5" applyBorder="1" applyAlignment="1">
      <alignment horizontal="center"/>
    </xf>
    <xf numFmtId="0" fontId="6" fillId="5" borderId="75" xfId="5" applyBorder="1" applyAlignment="1">
      <alignment horizontal="center"/>
    </xf>
    <xf numFmtId="0" fontId="6" fillId="5" borderId="77" xfId="5" applyBorder="1" applyAlignment="1">
      <alignment horizontal="center"/>
    </xf>
    <xf numFmtId="0" fontId="9" fillId="0" borderId="0" xfId="8" applyBorder="1"/>
    <xf numFmtId="0" fontId="7" fillId="0" borderId="0" xfId="7" quotePrefix="1" applyBorder="1" applyAlignment="1">
      <alignment horizontal="center"/>
    </xf>
    <xf numFmtId="0" fontId="7" fillId="0" borderId="0" xfId="7" quotePrefix="1" applyBorder="1"/>
    <xf numFmtId="0" fontId="0" fillId="0" borderId="78" xfId="0" applyBorder="1" applyAlignment="1">
      <alignment horizontal="center"/>
    </xf>
    <xf numFmtId="0" fontId="0" fillId="0" borderId="0" xfId="0" applyAlignment="1">
      <alignment horizontal="center" vertical="center"/>
    </xf>
    <xf numFmtId="0" fontId="4" fillId="4" borderId="39" xfId="3" applyBorder="1"/>
    <xf numFmtId="0" fontId="23" fillId="11" borderId="34" xfId="0" applyFont="1" applyFill="1" applyBorder="1" applyAlignment="1">
      <alignment horizontal="center"/>
    </xf>
    <xf numFmtId="0" fontId="23" fillId="11" borderId="35" xfId="0" applyFont="1" applyFill="1" applyBorder="1" applyAlignment="1">
      <alignment horizontal="center"/>
    </xf>
    <xf numFmtId="0" fontId="6" fillId="5" borderId="79" xfId="5" applyBorder="1" applyAlignment="1">
      <alignment horizontal="center"/>
    </xf>
    <xf numFmtId="0" fontId="6" fillId="5" borderId="80" xfId="5" applyBorder="1" applyAlignment="1">
      <alignment horizontal="center"/>
    </xf>
    <xf numFmtId="0" fontId="6" fillId="5" borderId="76" xfId="5" applyBorder="1" applyAlignment="1">
      <alignment horizontal="center"/>
    </xf>
    <xf numFmtId="0" fontId="6" fillId="5" borderId="81" xfId="5" applyBorder="1" applyAlignment="1">
      <alignment horizontal="center"/>
    </xf>
    <xf numFmtId="0" fontId="1" fillId="14" borderId="33" xfId="15" applyBorder="1"/>
    <xf numFmtId="0" fontId="23" fillId="14" borderId="34" xfId="15" applyFont="1" applyBorder="1" applyAlignment="1">
      <alignment horizontal="center"/>
    </xf>
    <xf numFmtId="0" fontId="23" fillId="14" borderId="35" xfId="15" applyFont="1" applyBorder="1"/>
    <xf numFmtId="0" fontId="23" fillId="14" borderId="39" xfId="15" applyFont="1" applyBorder="1" applyAlignment="1">
      <alignment horizontal="center"/>
    </xf>
    <xf numFmtId="0" fontId="1" fillId="14" borderId="59" xfId="15" applyBorder="1"/>
    <xf numFmtId="0" fontId="1" fillId="14" borderId="51" xfId="15" applyBorder="1"/>
    <xf numFmtId="0" fontId="18" fillId="0" borderId="0" xfId="0" applyFont="1" applyAlignment="1">
      <alignment vertical="center" wrapText="1"/>
    </xf>
    <xf numFmtId="0" fontId="17" fillId="0" borderId="0" xfId="11" applyBorder="1" applyAlignment="1">
      <alignment horizontal="center"/>
    </xf>
    <xf numFmtId="0" fontId="38" fillId="0" borderId="13" xfId="0" applyFont="1" applyBorder="1" applyAlignment="1">
      <alignment horizontal="center"/>
    </xf>
    <xf numFmtId="0" fontId="17" fillId="0" borderId="11" xfId="11" applyBorder="1" applyAlignment="1">
      <alignment horizontal="center"/>
    </xf>
    <xf numFmtId="0" fontId="17" fillId="0" borderId="16" xfId="11" applyBorder="1" applyAlignment="1">
      <alignment horizontal="center"/>
    </xf>
    <xf numFmtId="0" fontId="18" fillId="0" borderId="0" xfId="0" applyFont="1" applyAlignment="1">
      <alignment vertic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20" fillId="11" borderId="11" xfId="11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20" fillId="11" borderId="0" xfId="11" applyFon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0" fillId="11" borderId="16" xfId="11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7" fillId="0" borderId="0" xfId="7" applyBorder="1" applyAlignment="1">
      <alignment vertical="center"/>
    </xf>
    <xf numFmtId="0" fontId="0" fillId="0" borderId="0" xfId="0" applyAlignment="1">
      <alignment vertical="center"/>
    </xf>
    <xf numFmtId="0" fontId="7" fillId="0" borderId="0" xfId="7" applyBorder="1" applyAlignment="1"/>
    <xf numFmtId="0" fontId="3" fillId="3" borderId="39" xfId="2" applyBorder="1"/>
    <xf numFmtId="0" fontId="0" fillId="0" borderId="0" xfId="0" applyAlignment="1">
      <alignment horizontal="right"/>
    </xf>
    <xf numFmtId="0" fontId="7" fillId="0" borderId="11" xfId="7" applyBorder="1"/>
    <xf numFmtId="0" fontId="7" fillId="0" borderId="14" xfId="7" applyBorder="1" applyAlignment="1">
      <alignment vertical="center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3" fillId="11" borderId="10" xfId="2" applyFill="1" applyBorder="1"/>
    <xf numFmtId="0" fontId="3" fillId="11" borderId="11" xfId="2" applyFill="1" applyBorder="1"/>
    <xf numFmtId="0" fontId="3" fillId="11" borderId="11" xfId="2" applyFill="1" applyBorder="1" applyAlignment="1">
      <alignment horizontal="center"/>
    </xf>
    <xf numFmtId="0" fontId="3" fillId="11" borderId="13" xfId="2" applyFill="1" applyBorder="1"/>
    <xf numFmtId="0" fontId="3" fillId="11" borderId="0" xfId="2" applyFill="1" applyBorder="1"/>
    <xf numFmtId="0" fontId="3" fillId="11" borderId="0" xfId="2" applyFill="1" applyBorder="1" applyAlignment="1">
      <alignment horizontal="center"/>
    </xf>
    <xf numFmtId="0" fontId="3" fillId="11" borderId="15" xfId="2" applyFill="1" applyBorder="1"/>
    <xf numFmtId="0" fontId="3" fillId="11" borderId="16" xfId="2" applyFill="1" applyBorder="1"/>
    <xf numFmtId="0" fontId="3" fillId="11" borderId="16" xfId="2" applyFill="1" applyBorder="1" applyAlignment="1">
      <alignment horizontal="center"/>
    </xf>
    <xf numFmtId="0" fontId="2" fillId="2" borderId="50" xfId="1" applyBorder="1" applyAlignment="1">
      <alignment horizontal="left"/>
    </xf>
    <xf numFmtId="0" fontId="2" fillId="2" borderId="59" xfId="1" applyBorder="1" applyAlignment="1">
      <alignment horizontal="left"/>
    </xf>
    <xf numFmtId="0" fontId="2" fillId="2" borderId="51" xfId="1" applyBorder="1" applyAlignment="1">
      <alignment horizontal="left"/>
    </xf>
    <xf numFmtId="0" fontId="2" fillId="2" borderId="50" xfId="1" applyBorder="1" applyAlignment="1">
      <alignment horizontal="right"/>
    </xf>
    <xf numFmtId="0" fontId="2" fillId="2" borderId="59" xfId="1" applyBorder="1" applyAlignment="1">
      <alignment horizontal="right"/>
    </xf>
    <xf numFmtId="0" fontId="2" fillId="2" borderId="51" xfId="1" applyBorder="1" applyAlignment="1">
      <alignment horizontal="right"/>
    </xf>
    <xf numFmtId="0" fontId="44" fillId="0" borderId="0" xfId="0" applyFont="1"/>
    <xf numFmtId="0" fontId="45" fillId="0" borderId="0" xfId="12" applyFont="1" applyBorder="1" applyAlignment="1"/>
    <xf numFmtId="0" fontId="3" fillId="11" borderId="12" xfId="2" applyFill="1" applyBorder="1" applyAlignment="1">
      <alignment horizontal="center"/>
    </xf>
    <xf numFmtId="0" fontId="3" fillId="11" borderId="14" xfId="2" applyFill="1" applyBorder="1" applyAlignment="1">
      <alignment horizontal="center"/>
    </xf>
    <xf numFmtId="0" fontId="3" fillId="11" borderId="17" xfId="2" applyFill="1" applyBorder="1" applyAlignment="1">
      <alignment horizontal="center"/>
    </xf>
    <xf numFmtId="0" fontId="3" fillId="11" borderId="10" xfId="2" applyFill="1" applyBorder="1" applyAlignment="1">
      <alignment horizontal="center"/>
    </xf>
    <xf numFmtId="0" fontId="3" fillId="11" borderId="13" xfId="2" applyFill="1" applyBorder="1" applyAlignment="1">
      <alignment horizontal="center"/>
    </xf>
    <xf numFmtId="0" fontId="3" fillId="11" borderId="15" xfId="2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15" borderId="33" xfId="16" applyBorder="1" applyAlignment="1">
      <alignment horizontal="right"/>
    </xf>
    <xf numFmtId="0" fontId="1" fillId="16" borderId="34" xfId="16" applyFill="1" applyBorder="1" applyAlignment="1">
      <alignment horizontal="center"/>
    </xf>
    <xf numFmtId="0" fontId="1" fillId="16" borderId="35" xfId="16" applyFill="1" applyBorder="1" applyAlignment="1">
      <alignment horizontal="center"/>
    </xf>
    <xf numFmtId="0" fontId="3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6" fillId="0" borderId="11" xfId="0" applyFont="1" applyBorder="1" applyAlignment="1">
      <alignment horizontal="center"/>
    </xf>
    <xf numFmtId="0" fontId="46" fillId="0" borderId="16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1" xfId="0" applyFont="1" applyBorder="1" applyAlignment="1">
      <alignment horizontal="center"/>
    </xf>
    <xf numFmtId="0" fontId="32" fillId="0" borderId="16" xfId="0" applyFont="1" applyBorder="1" applyAlignment="1">
      <alignment horizontal="center"/>
    </xf>
    <xf numFmtId="0" fontId="7" fillId="0" borderId="13" xfId="7" applyBorder="1" applyAlignment="1"/>
    <xf numFmtId="0" fontId="15" fillId="0" borderId="11" xfId="10" applyFont="1" applyBorder="1" applyAlignment="1">
      <alignment horizontal="left"/>
    </xf>
    <xf numFmtId="0" fontId="7" fillId="0" borderId="16" xfId="7" applyBorder="1" applyAlignment="1">
      <alignment horizontal="center"/>
    </xf>
    <xf numFmtId="0" fontId="7" fillId="0" borderId="16" xfId="7" applyBorder="1" applyAlignment="1">
      <alignment horizontal="left"/>
    </xf>
    <xf numFmtId="0" fontId="0" fillId="0" borderId="16" xfId="0" applyBorder="1" applyAlignment="1">
      <alignment wrapText="1"/>
    </xf>
    <xf numFmtId="0" fontId="2" fillId="2" borderId="12" xfId="1" applyBorder="1" applyAlignment="1">
      <alignment horizontal="center" vertical="center"/>
    </xf>
    <xf numFmtId="0" fontId="2" fillId="2" borderId="17" xfId="1" applyBorder="1" applyAlignment="1">
      <alignment horizontal="center" vertical="center"/>
    </xf>
    <xf numFmtId="0" fontId="1" fillId="13" borderId="33" xfId="14" applyBorder="1" applyAlignment="1">
      <alignment horizontal="center"/>
    </xf>
    <xf numFmtId="0" fontId="50" fillId="0" borderId="0" xfId="17"/>
    <xf numFmtId="0" fontId="23" fillId="14" borderId="35" xfId="15" applyFont="1" applyBorder="1" applyAlignment="1">
      <alignment horizontal="center"/>
    </xf>
    <xf numFmtId="0" fontId="6" fillId="5" borderId="83" xfId="5" applyBorder="1" applyAlignment="1">
      <alignment horizontal="center"/>
    </xf>
    <xf numFmtId="0" fontId="3" fillId="3" borderId="0" xfId="2" applyBorder="1"/>
    <xf numFmtId="0" fontId="3" fillId="3" borderId="65" xfId="2" applyBorder="1" applyAlignment="1">
      <alignment horizontal="center"/>
    </xf>
    <xf numFmtId="0" fontId="3" fillId="3" borderId="84" xfId="2" applyBorder="1" applyAlignment="1">
      <alignment horizontal="center"/>
    </xf>
    <xf numFmtId="0" fontId="3" fillId="3" borderId="85" xfId="2" applyBorder="1" applyAlignment="1">
      <alignment horizontal="center"/>
    </xf>
    <xf numFmtId="0" fontId="3" fillId="3" borderId="48" xfId="2" applyBorder="1" applyAlignment="1">
      <alignment horizontal="center"/>
    </xf>
    <xf numFmtId="0" fontId="3" fillId="3" borderId="49" xfId="2" applyBorder="1" applyAlignment="1">
      <alignment horizontal="center"/>
    </xf>
    <xf numFmtId="0" fontId="10" fillId="8" borderId="65" xfId="9" applyBorder="1" applyAlignment="1">
      <alignment horizontal="center"/>
    </xf>
    <xf numFmtId="0" fontId="10" fillId="8" borderId="84" xfId="9" applyBorder="1" applyAlignment="1">
      <alignment horizontal="center"/>
    </xf>
    <xf numFmtId="0" fontId="10" fillId="8" borderId="85" xfId="9" applyBorder="1" applyAlignment="1">
      <alignment horizontal="center"/>
    </xf>
    <xf numFmtId="0" fontId="0" fillId="0" borderId="5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2" borderId="11" xfId="1" applyBorder="1" applyAlignment="1">
      <alignment horizontal="center" vertical="center"/>
    </xf>
    <xf numFmtId="0" fontId="2" fillId="2" borderId="16" xfId="1" applyBorder="1" applyAlignment="1">
      <alignment horizontal="center" vertical="center"/>
    </xf>
    <xf numFmtId="0" fontId="2" fillId="2" borderId="10" xfId="1" applyBorder="1" applyAlignment="1">
      <alignment horizontal="center" vertical="center"/>
    </xf>
    <xf numFmtId="0" fontId="2" fillId="2" borderId="15" xfId="1" applyBorder="1" applyAlignment="1">
      <alignment horizontal="center" vertical="center"/>
    </xf>
    <xf numFmtId="0" fontId="6" fillId="5" borderId="39" xfId="5" applyBorder="1" applyAlignment="1">
      <alignment horizontal="center"/>
    </xf>
    <xf numFmtId="0" fontId="38" fillId="0" borderId="0" xfId="0" applyFont="1"/>
    <xf numFmtId="0" fontId="2" fillId="2" borderId="13" xfId="1" applyBorder="1" applyAlignment="1">
      <alignment horizontal="center" vertical="center"/>
    </xf>
    <xf numFmtId="0" fontId="2" fillId="2" borderId="0" xfId="1" applyBorder="1" applyAlignment="1">
      <alignment horizontal="center" vertical="center"/>
    </xf>
    <xf numFmtId="0" fontId="2" fillId="2" borderId="14" xfId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0" xfId="0" applyAlignment="1">
      <alignment vertical="top"/>
    </xf>
    <xf numFmtId="0" fontId="1" fillId="13" borderId="10" xfId="14" applyBorder="1" applyAlignment="1">
      <alignment horizontal="center" vertical="center"/>
    </xf>
    <xf numFmtId="0" fontId="1" fillId="13" borderId="11" xfId="14" applyBorder="1" applyAlignment="1">
      <alignment horizontal="center" vertical="center"/>
    </xf>
    <xf numFmtId="0" fontId="1" fillId="13" borderId="12" xfId="14" applyBorder="1" applyAlignment="1">
      <alignment horizontal="center" vertical="center"/>
    </xf>
    <xf numFmtId="0" fontId="1" fillId="13" borderId="50" xfId="14" applyBorder="1" applyAlignment="1">
      <alignment horizontal="center" vertical="center"/>
    </xf>
    <xf numFmtId="0" fontId="1" fillId="13" borderId="13" xfId="14" applyBorder="1" applyAlignment="1">
      <alignment horizontal="center" vertical="center"/>
    </xf>
    <xf numFmtId="0" fontId="1" fillId="13" borderId="0" xfId="14" applyBorder="1" applyAlignment="1">
      <alignment horizontal="center" vertical="center"/>
    </xf>
    <xf numFmtId="0" fontId="1" fillId="13" borderId="14" xfId="14" applyBorder="1" applyAlignment="1">
      <alignment horizontal="center" vertical="center"/>
    </xf>
    <xf numFmtId="0" fontId="1" fillId="13" borderId="59" xfId="14" applyBorder="1" applyAlignment="1">
      <alignment horizontal="center" vertical="center"/>
    </xf>
    <xf numFmtId="0" fontId="1" fillId="13" borderId="15" xfId="14" applyBorder="1" applyAlignment="1">
      <alignment horizontal="center" vertical="center"/>
    </xf>
    <xf numFmtId="0" fontId="1" fillId="13" borderId="16" xfId="14" applyBorder="1" applyAlignment="1">
      <alignment horizontal="center" vertical="center"/>
    </xf>
    <xf numFmtId="0" fontId="1" fillId="13" borderId="17" xfId="14" applyBorder="1" applyAlignment="1">
      <alignment horizontal="center" vertical="center"/>
    </xf>
    <xf numFmtId="0" fontId="1" fillId="13" borderId="51" xfId="14" applyBorder="1" applyAlignment="1">
      <alignment horizontal="center" vertical="center"/>
    </xf>
    <xf numFmtId="0" fontId="0" fillId="12" borderId="10" xfId="13" applyFont="1" applyBorder="1" applyAlignment="1">
      <alignment horizontal="left"/>
    </xf>
    <xf numFmtId="0" fontId="0" fillId="12" borderId="11" xfId="13" applyFont="1" applyBorder="1" applyAlignment="1">
      <alignment horizontal="left"/>
    </xf>
    <xf numFmtId="0" fontId="0" fillId="12" borderId="12" xfId="13" applyFont="1" applyBorder="1" applyAlignment="1">
      <alignment horizontal="left"/>
    </xf>
    <xf numFmtId="0" fontId="50" fillId="0" borderId="0" xfId="17" applyAlignment="1">
      <alignment horizontal="center"/>
    </xf>
    <xf numFmtId="0" fontId="50" fillId="0" borderId="10" xfId="17" applyBorder="1"/>
    <xf numFmtId="0" fontId="50" fillId="0" borderId="11" xfId="17" applyBorder="1"/>
    <xf numFmtId="0" fontId="50" fillId="0" borderId="12" xfId="17" applyBorder="1"/>
    <xf numFmtId="0" fontId="50" fillId="0" borderId="10" xfId="17" applyBorder="1" applyAlignment="1">
      <alignment horizontal="center"/>
    </xf>
    <xf numFmtId="0" fontId="50" fillId="0" borderId="11" xfId="17" applyBorder="1" applyAlignment="1">
      <alignment horizontal="center"/>
    </xf>
    <xf numFmtId="0" fontId="50" fillId="0" borderId="12" xfId="17" applyBorder="1" applyAlignment="1">
      <alignment horizontal="center"/>
    </xf>
    <xf numFmtId="0" fontId="50" fillId="0" borderId="13" xfId="17" applyBorder="1" applyAlignment="1">
      <alignment horizontal="center"/>
    </xf>
    <xf numFmtId="0" fontId="50" fillId="0" borderId="14" xfId="17" applyBorder="1" applyAlignment="1">
      <alignment horizontal="center"/>
    </xf>
    <xf numFmtId="0" fontId="50" fillId="0" borderId="15" xfId="17" applyBorder="1" applyAlignment="1">
      <alignment horizontal="center"/>
    </xf>
    <xf numFmtId="0" fontId="50" fillId="0" borderId="16" xfId="17" applyBorder="1" applyAlignment="1">
      <alignment horizontal="center"/>
    </xf>
    <xf numFmtId="0" fontId="50" fillId="0" borderId="17" xfId="17" applyBorder="1" applyAlignment="1">
      <alignment horizontal="center"/>
    </xf>
    <xf numFmtId="0" fontId="50" fillId="0" borderId="50" xfId="17" applyBorder="1" applyAlignment="1">
      <alignment horizontal="center"/>
    </xf>
    <xf numFmtId="0" fontId="50" fillId="0" borderId="59" xfId="17" applyBorder="1" applyAlignment="1">
      <alignment horizontal="center"/>
    </xf>
    <xf numFmtId="0" fontId="50" fillId="0" borderId="51" xfId="17" applyBorder="1" applyAlignment="1">
      <alignment horizontal="center"/>
    </xf>
    <xf numFmtId="0" fontId="50" fillId="0" borderId="35" xfId="17" applyBorder="1"/>
    <xf numFmtId="0" fontId="6" fillId="5" borderId="86" xfId="5" applyBorder="1" applyAlignment="1">
      <alignment horizontal="center"/>
    </xf>
    <xf numFmtId="0" fontId="1" fillId="14" borderId="34" xfId="15" applyBorder="1" applyAlignment="1">
      <alignment horizontal="center"/>
    </xf>
    <xf numFmtId="0" fontId="1" fillId="14" borderId="34" xfId="15" applyBorder="1"/>
    <xf numFmtId="0" fontId="1" fillId="14" borderId="35" xfId="15" applyBorder="1" applyAlignment="1">
      <alignment horizontal="center"/>
    </xf>
    <xf numFmtId="0" fontId="6" fillId="5" borderId="87" xfId="5" applyBorder="1" applyAlignment="1">
      <alignment horizontal="center"/>
    </xf>
    <xf numFmtId="0" fontId="2" fillId="2" borderId="51" xfId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14" fillId="6" borderId="3" xfId="6" applyFont="1" applyAlignment="1">
      <alignment horizontal="center"/>
    </xf>
    <xf numFmtId="0" fontId="0" fillId="10" borderId="33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10" borderId="39" xfId="0" applyFill="1" applyBorder="1" applyAlignment="1">
      <alignment horizontal="center" vertical="center"/>
    </xf>
    <xf numFmtId="0" fontId="2" fillId="2" borderId="33" xfId="1" applyBorder="1" applyAlignment="1">
      <alignment horizontal="center" vertical="center"/>
    </xf>
    <xf numFmtId="0" fontId="2" fillId="2" borderId="35" xfId="1" applyBorder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59" fillId="6" borderId="41" xfId="6" applyFont="1" applyBorder="1" applyAlignment="1">
      <alignment horizontal="center"/>
    </xf>
    <xf numFmtId="0" fontId="59" fillId="6" borderId="42" xfId="6" applyFont="1" applyBorder="1" applyAlignment="1">
      <alignment horizontal="center"/>
    </xf>
    <xf numFmtId="0" fontId="59" fillId="6" borderId="43" xfId="6" applyFont="1" applyBorder="1" applyAlignment="1">
      <alignment horizontal="center"/>
    </xf>
    <xf numFmtId="0" fontId="62" fillId="2" borderId="10" xfId="1" applyFont="1" applyBorder="1" applyAlignment="1">
      <alignment horizontal="center" vertical="center"/>
    </xf>
    <xf numFmtId="0" fontId="62" fillId="2" borderId="15" xfId="1" applyFont="1" applyBorder="1" applyAlignment="1">
      <alignment horizontal="center" vertical="center"/>
    </xf>
    <xf numFmtId="0" fontId="61" fillId="2" borderId="12" xfId="1" applyFont="1" applyBorder="1" applyAlignment="1">
      <alignment horizontal="center" vertical="center"/>
    </xf>
    <xf numFmtId="0" fontId="61" fillId="2" borderId="17" xfId="1" applyFont="1" applyBorder="1" applyAlignment="1">
      <alignment horizontal="center" vertical="center"/>
    </xf>
    <xf numFmtId="0" fontId="60" fillId="2" borderId="10" xfId="1" applyFont="1" applyBorder="1" applyAlignment="1">
      <alignment horizontal="center" vertical="center"/>
    </xf>
    <xf numFmtId="0" fontId="60" fillId="2" borderId="15" xfId="1" applyFont="1" applyBorder="1" applyAlignment="1">
      <alignment horizontal="center" vertical="center"/>
    </xf>
    <xf numFmtId="0" fontId="0" fillId="6" borderId="13" xfId="6" applyFont="1" applyBorder="1" applyAlignment="1">
      <alignment horizontal="center"/>
    </xf>
    <xf numFmtId="0" fontId="0" fillId="6" borderId="0" xfId="6" applyFont="1" applyBorder="1" applyAlignment="1">
      <alignment horizontal="center"/>
    </xf>
    <xf numFmtId="0" fontId="0" fillId="0" borderId="0" xfId="0"/>
    <xf numFmtId="0" fontId="28" fillId="6" borderId="41" xfId="6" applyFont="1" applyBorder="1" applyAlignment="1">
      <alignment horizontal="center"/>
    </xf>
    <xf numFmtId="0" fontId="28" fillId="6" borderId="42" xfId="6" applyFont="1" applyBorder="1" applyAlignment="1">
      <alignment horizontal="center"/>
    </xf>
    <xf numFmtId="0" fontId="28" fillId="6" borderId="43" xfId="6" applyFont="1" applyBorder="1" applyAlignment="1">
      <alignment horizontal="center"/>
    </xf>
    <xf numFmtId="0" fontId="33" fillId="18" borderId="10" xfId="8" applyFont="1" applyFill="1" applyBorder="1" applyAlignment="1">
      <alignment horizontal="center" vertical="center"/>
    </xf>
    <xf numFmtId="0" fontId="33" fillId="18" borderId="11" xfId="8" applyFont="1" applyFill="1" applyBorder="1" applyAlignment="1">
      <alignment horizontal="center" vertical="center"/>
    </xf>
    <xf numFmtId="0" fontId="33" fillId="18" borderId="12" xfId="8" applyFont="1" applyFill="1" applyBorder="1" applyAlignment="1">
      <alignment horizontal="center" vertical="center"/>
    </xf>
    <xf numFmtId="0" fontId="33" fillId="18" borderId="15" xfId="8" applyFont="1" applyFill="1" applyBorder="1" applyAlignment="1">
      <alignment horizontal="center" vertical="center"/>
    </xf>
    <xf numFmtId="0" fontId="33" fillId="18" borderId="16" xfId="8" applyFont="1" applyFill="1" applyBorder="1" applyAlignment="1">
      <alignment horizontal="center" vertical="center"/>
    </xf>
    <xf numFmtId="0" fontId="33" fillId="18" borderId="17" xfId="8" applyFont="1" applyFill="1" applyBorder="1" applyAlignment="1">
      <alignment horizontal="center" vertical="center"/>
    </xf>
    <xf numFmtId="0" fontId="14" fillId="3" borderId="60" xfId="10" applyFill="1" applyBorder="1" applyAlignment="1">
      <alignment horizontal="center"/>
    </xf>
    <xf numFmtId="0" fontId="14" fillId="3" borderId="62" xfId="10" applyFill="1" applyBorder="1" applyAlignment="1">
      <alignment horizontal="center"/>
    </xf>
    <xf numFmtId="0" fontId="0" fillId="6" borderId="44" xfId="6" applyFont="1" applyBorder="1" applyAlignment="1">
      <alignment horizontal="center"/>
    </xf>
    <xf numFmtId="0" fontId="0" fillId="6" borderId="34" xfId="6" applyFont="1" applyBorder="1" applyAlignment="1">
      <alignment horizontal="center"/>
    </xf>
    <xf numFmtId="0" fontId="0" fillId="6" borderId="47" xfId="6" applyFont="1" applyBorder="1" applyAlignment="1">
      <alignment horizontal="center"/>
    </xf>
    <xf numFmtId="0" fontId="0" fillId="6" borderId="95" xfId="6" applyFont="1" applyBorder="1" applyAlignment="1">
      <alignment horizontal="center"/>
    </xf>
    <xf numFmtId="0" fontId="0" fillId="6" borderId="46" xfId="6" applyFont="1" applyBorder="1" applyAlignment="1">
      <alignment horizontal="center"/>
    </xf>
    <xf numFmtId="0" fontId="0" fillId="6" borderId="35" xfId="6" applyFont="1" applyBorder="1" applyAlignment="1">
      <alignment horizontal="center"/>
    </xf>
    <xf numFmtId="0" fontId="64" fillId="21" borderId="89" xfId="0" applyFont="1" applyFill="1" applyBorder="1" applyAlignment="1">
      <alignment horizontal="center" vertical="center" wrapText="1"/>
    </xf>
    <xf numFmtId="0" fontId="64" fillId="21" borderId="91" xfId="0" applyFont="1" applyFill="1" applyBorder="1" applyAlignment="1">
      <alignment horizontal="center" vertical="center" wrapText="1"/>
    </xf>
    <xf numFmtId="0" fontId="64" fillId="21" borderId="92" xfId="0" applyFont="1" applyFill="1" applyBorder="1" applyAlignment="1">
      <alignment horizontal="center" vertical="center" wrapText="1"/>
    </xf>
    <xf numFmtId="0" fontId="64" fillId="21" borderId="94" xfId="0" applyFont="1" applyFill="1" applyBorder="1" applyAlignment="1">
      <alignment horizontal="center" vertical="center" wrapText="1"/>
    </xf>
    <xf numFmtId="0" fontId="64" fillId="19" borderId="89" xfId="0" applyFont="1" applyFill="1" applyBorder="1" applyAlignment="1">
      <alignment horizontal="center" vertical="center" wrapText="1"/>
    </xf>
    <xf numFmtId="0" fontId="64" fillId="19" borderId="90" xfId="0" applyFont="1" applyFill="1" applyBorder="1" applyAlignment="1">
      <alignment horizontal="center" vertical="center" wrapText="1"/>
    </xf>
    <xf numFmtId="0" fontId="64" fillId="19" borderId="91" xfId="0" applyFont="1" applyFill="1" applyBorder="1" applyAlignment="1">
      <alignment horizontal="center" vertical="center" wrapText="1"/>
    </xf>
    <xf numFmtId="0" fontId="64" fillId="19" borderId="92" xfId="0" applyFont="1" applyFill="1" applyBorder="1" applyAlignment="1">
      <alignment horizontal="center" vertical="center" wrapText="1"/>
    </xf>
    <xf numFmtId="0" fontId="64" fillId="19" borderId="93" xfId="0" applyFont="1" applyFill="1" applyBorder="1" applyAlignment="1">
      <alignment horizontal="center" vertical="center" wrapText="1"/>
    </xf>
    <xf numFmtId="0" fontId="64" fillId="19" borderId="94" xfId="0" applyFont="1" applyFill="1" applyBorder="1" applyAlignment="1">
      <alignment horizontal="center" vertical="center" wrapText="1"/>
    </xf>
    <xf numFmtId="0" fontId="63" fillId="20" borderId="89" xfId="0" applyFont="1" applyFill="1" applyBorder="1" applyAlignment="1">
      <alignment horizontal="center" vertical="center" wrapText="1"/>
    </xf>
    <xf numFmtId="0" fontId="63" fillId="20" borderId="90" xfId="0" applyFont="1" applyFill="1" applyBorder="1" applyAlignment="1">
      <alignment horizontal="center" vertical="center" wrapText="1"/>
    </xf>
    <xf numFmtId="0" fontId="63" fillId="20" borderId="91" xfId="0" applyFont="1" applyFill="1" applyBorder="1" applyAlignment="1">
      <alignment horizontal="center" vertical="center" wrapText="1"/>
    </xf>
    <xf numFmtId="0" fontId="63" fillId="20" borderId="92" xfId="0" applyFont="1" applyFill="1" applyBorder="1" applyAlignment="1">
      <alignment horizontal="center" vertical="center" wrapText="1"/>
    </xf>
    <xf numFmtId="0" fontId="63" fillId="20" borderId="93" xfId="0" applyFont="1" applyFill="1" applyBorder="1" applyAlignment="1">
      <alignment horizontal="center" vertical="center" wrapText="1"/>
    </xf>
    <xf numFmtId="0" fontId="63" fillId="20" borderId="94" xfId="0" applyFont="1" applyFill="1" applyBorder="1" applyAlignment="1">
      <alignment horizontal="center" vertical="center" wrapText="1"/>
    </xf>
    <xf numFmtId="0" fontId="33" fillId="18" borderId="33" xfId="8" applyFont="1" applyFill="1" applyBorder="1" applyAlignment="1">
      <alignment horizontal="center"/>
    </xf>
    <xf numFmtId="0" fontId="33" fillId="18" borderId="34" xfId="8" applyFont="1" applyFill="1" applyBorder="1" applyAlignment="1">
      <alignment horizontal="center"/>
    </xf>
    <xf numFmtId="0" fontId="33" fillId="18" borderId="35" xfId="8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14" fillId="6" borderId="32" xfId="10" applyFill="1" applyAlignment="1">
      <alignment horizontal="center"/>
    </xf>
    <xf numFmtId="0" fontId="48" fillId="18" borderId="33" xfId="0" applyFont="1" applyFill="1" applyBorder="1" applyAlignment="1">
      <alignment horizontal="center"/>
    </xf>
    <xf numFmtId="0" fontId="48" fillId="18" borderId="34" xfId="0" applyFont="1" applyFill="1" applyBorder="1" applyAlignment="1">
      <alignment horizontal="center"/>
    </xf>
    <xf numFmtId="0" fontId="48" fillId="18" borderId="35" xfId="0" applyFont="1" applyFill="1" applyBorder="1" applyAlignment="1">
      <alignment horizontal="center"/>
    </xf>
    <xf numFmtId="0" fontId="49" fillId="6" borderId="33" xfId="6" applyFont="1" applyBorder="1" applyAlignment="1">
      <alignment horizontal="center"/>
    </xf>
    <xf numFmtId="0" fontId="49" fillId="6" borderId="34" xfId="6" applyFont="1" applyBorder="1" applyAlignment="1">
      <alignment horizontal="center"/>
    </xf>
    <xf numFmtId="0" fontId="49" fillId="6" borderId="35" xfId="6" applyFont="1" applyBorder="1" applyAlignment="1">
      <alignment horizontal="center"/>
    </xf>
    <xf numFmtId="0" fontId="41" fillId="16" borderId="13" xfId="0" applyFont="1" applyFill="1" applyBorder="1" applyAlignment="1">
      <alignment horizontal="center"/>
    </xf>
    <xf numFmtId="0" fontId="41" fillId="16" borderId="0" xfId="0" applyFont="1" applyFill="1" applyAlignment="1">
      <alignment horizontal="center"/>
    </xf>
    <xf numFmtId="0" fontId="41" fillId="16" borderId="14" xfId="0" applyFont="1" applyFill="1" applyBorder="1" applyAlignment="1">
      <alignment horizontal="center"/>
    </xf>
    <xf numFmtId="0" fontId="36" fillId="16" borderId="13" xfId="0" applyFont="1" applyFill="1" applyBorder="1" applyAlignment="1">
      <alignment horizontal="center"/>
    </xf>
    <xf numFmtId="0" fontId="36" fillId="16" borderId="0" xfId="0" applyFont="1" applyFill="1" applyAlignment="1">
      <alignment horizontal="center"/>
    </xf>
    <xf numFmtId="0" fontId="36" fillId="16" borderId="14" xfId="0" applyFont="1" applyFill="1" applyBorder="1" applyAlignment="1">
      <alignment horizontal="center"/>
    </xf>
    <xf numFmtId="0" fontId="14" fillId="0" borderId="0" xfId="10" applyBorder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52" fillId="0" borderId="10" xfId="0" applyFont="1" applyBorder="1" applyAlignment="1">
      <alignment horizontal="center" vertical="center"/>
    </xf>
    <xf numFmtId="0" fontId="52" fillId="0" borderId="12" xfId="0" applyFont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0" fontId="52" fillId="0" borderId="14" xfId="0" applyFont="1" applyBorder="1" applyAlignment="1">
      <alignment horizontal="center" vertical="center"/>
    </xf>
    <xf numFmtId="0" fontId="52" fillId="0" borderId="15" xfId="0" applyFont="1" applyBorder="1" applyAlignment="1">
      <alignment horizontal="center" vertical="center"/>
    </xf>
    <xf numFmtId="0" fontId="52" fillId="0" borderId="17" xfId="0" applyFont="1" applyBorder="1" applyAlignment="1">
      <alignment horizontal="center" vertical="center"/>
    </xf>
    <xf numFmtId="0" fontId="9" fillId="0" borderId="13" xfId="8" applyBorder="1" applyAlignment="1">
      <alignment horizontal="center"/>
    </xf>
    <xf numFmtId="0" fontId="9" fillId="0" borderId="0" xfId="8" applyBorder="1" applyAlignment="1">
      <alignment horizontal="center"/>
    </xf>
    <xf numFmtId="0" fontId="0" fillId="0" borderId="0" xfId="0" applyAlignment="1">
      <alignment horizontal="center" vertical="center"/>
    </xf>
    <xf numFmtId="0" fontId="53" fillId="3" borderId="33" xfId="2" applyFont="1" applyBorder="1" applyAlignment="1">
      <alignment horizontal="center" vertical="center"/>
    </xf>
    <xf numFmtId="0" fontId="53" fillId="3" borderId="34" xfId="2" applyFont="1" applyBorder="1" applyAlignment="1">
      <alignment horizontal="center" vertical="center"/>
    </xf>
    <xf numFmtId="0" fontId="53" fillId="3" borderId="35" xfId="2" applyFont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23" fillId="0" borderId="59" xfId="0" applyFont="1" applyBorder="1" applyAlignment="1">
      <alignment horizontal="center" vertical="center"/>
    </xf>
    <xf numFmtId="0" fontId="23" fillId="11" borderId="33" xfId="0" applyFont="1" applyFill="1" applyBorder="1" applyAlignment="1">
      <alignment horizontal="center"/>
    </xf>
    <xf numFmtId="0" fontId="23" fillId="11" borderId="34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1" fillId="0" borderId="10" xfId="0" applyFont="1" applyBorder="1" applyAlignment="1">
      <alignment horizontal="center" vertical="center"/>
    </xf>
    <xf numFmtId="0" fontId="51" fillId="0" borderId="11" xfId="0" applyFont="1" applyBorder="1" applyAlignment="1">
      <alignment horizontal="center" vertical="center"/>
    </xf>
    <xf numFmtId="0" fontId="51" fillId="0" borderId="12" xfId="0" applyFont="1" applyBorder="1" applyAlignment="1">
      <alignment horizontal="center" vertical="center"/>
    </xf>
    <xf numFmtId="0" fontId="51" fillId="0" borderId="13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14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16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25" fillId="0" borderId="10" xfId="11" applyFont="1" applyBorder="1" applyAlignment="1">
      <alignment horizontal="center" vertical="center"/>
    </xf>
    <xf numFmtId="0" fontId="25" fillId="0" borderId="12" xfId="11" applyFont="1" applyBorder="1" applyAlignment="1">
      <alignment horizontal="center" vertical="center"/>
    </xf>
    <xf numFmtId="0" fontId="25" fillId="0" borderId="13" xfId="11" applyFont="1" applyBorder="1" applyAlignment="1">
      <alignment horizontal="center" vertical="center"/>
    </xf>
    <xf numFmtId="0" fontId="25" fillId="0" borderId="14" xfId="11" applyFont="1" applyBorder="1" applyAlignment="1">
      <alignment horizontal="center" vertical="center"/>
    </xf>
    <xf numFmtId="0" fontId="25" fillId="0" borderId="15" xfId="11" applyFont="1" applyBorder="1" applyAlignment="1">
      <alignment horizontal="center" vertical="center"/>
    </xf>
    <xf numFmtId="0" fontId="25" fillId="0" borderId="17" xfId="11" applyFont="1" applyBorder="1" applyAlignment="1">
      <alignment horizontal="center" vertical="center"/>
    </xf>
    <xf numFmtId="0" fontId="24" fillId="0" borderId="50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3" fillId="14" borderId="33" xfId="15" applyFont="1" applyBorder="1" applyAlignment="1">
      <alignment horizontal="center"/>
    </xf>
    <xf numFmtId="0" fontId="23" fillId="14" borderId="34" xfId="15" applyFont="1" applyBorder="1" applyAlignment="1">
      <alignment horizontal="center"/>
    </xf>
    <xf numFmtId="0" fontId="23" fillId="14" borderId="35" xfId="15" applyFont="1" applyBorder="1" applyAlignment="1">
      <alignment horizontal="center"/>
    </xf>
    <xf numFmtId="0" fontId="47" fillId="0" borderId="33" xfId="10" applyFont="1" applyBorder="1" applyAlignment="1">
      <alignment horizontal="center"/>
    </xf>
    <xf numFmtId="0" fontId="47" fillId="0" borderId="34" xfId="10" applyFont="1" applyBorder="1" applyAlignment="1">
      <alignment horizontal="center"/>
    </xf>
    <xf numFmtId="0" fontId="47" fillId="0" borderId="35" xfId="10" applyFont="1" applyBorder="1" applyAlignment="1">
      <alignment horizontal="center"/>
    </xf>
    <xf numFmtId="0" fontId="1" fillId="15" borderId="34" xfId="16" applyBorder="1" applyAlignment="1">
      <alignment horizontal="center"/>
    </xf>
    <xf numFmtId="0" fontId="34" fillId="17" borderId="33" xfId="0" applyFont="1" applyFill="1" applyBorder="1" applyAlignment="1">
      <alignment horizontal="center"/>
    </xf>
    <xf numFmtId="0" fontId="34" fillId="17" borderId="34" xfId="0" applyFont="1" applyFill="1" applyBorder="1" applyAlignment="1">
      <alignment horizontal="center"/>
    </xf>
    <xf numFmtId="0" fontId="34" fillId="17" borderId="35" xfId="0" applyFont="1" applyFill="1" applyBorder="1" applyAlignment="1">
      <alignment horizontal="center"/>
    </xf>
    <xf numFmtId="0" fontId="32" fillId="0" borderId="50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6" fillId="9" borderId="13" xfId="0" applyFont="1" applyFill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14" xfId="0" applyFont="1" applyFill="1" applyBorder="1" applyAlignment="1">
      <alignment horizontal="center"/>
    </xf>
    <xf numFmtId="0" fontId="23" fillId="0" borderId="16" xfId="0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54" fillId="9" borderId="10" xfId="0" applyFont="1" applyFill="1" applyBorder="1" applyAlignment="1">
      <alignment horizontal="center" vertical="center"/>
    </xf>
    <xf numFmtId="0" fontId="54" fillId="9" borderId="11" xfId="0" applyFont="1" applyFill="1" applyBorder="1" applyAlignment="1">
      <alignment horizontal="center" vertical="center"/>
    </xf>
    <xf numFmtId="0" fontId="54" fillId="9" borderId="12" xfId="0" applyFont="1" applyFill="1" applyBorder="1" applyAlignment="1">
      <alignment horizontal="center" vertical="center"/>
    </xf>
    <xf numFmtId="0" fontId="54" fillId="9" borderId="15" xfId="0" applyFont="1" applyFill="1" applyBorder="1" applyAlignment="1">
      <alignment horizontal="center" vertical="center"/>
    </xf>
    <xf numFmtId="0" fontId="54" fillId="9" borderId="16" xfId="0" applyFont="1" applyFill="1" applyBorder="1" applyAlignment="1">
      <alignment horizontal="center" vertical="center"/>
    </xf>
    <xf numFmtId="0" fontId="54" fillId="9" borderId="17" xfId="0" applyFont="1" applyFill="1" applyBorder="1" applyAlignment="1">
      <alignment horizontal="center" vertical="center"/>
    </xf>
    <xf numFmtId="0" fontId="55" fillId="15" borderId="10" xfId="16" applyFont="1" applyBorder="1" applyAlignment="1">
      <alignment horizontal="center" vertical="center"/>
    </xf>
    <xf numFmtId="0" fontId="55" fillId="15" borderId="11" xfId="16" applyFont="1" applyBorder="1" applyAlignment="1">
      <alignment horizontal="center" vertical="center"/>
    </xf>
    <xf numFmtId="0" fontId="55" fillId="15" borderId="15" xfId="16" applyFont="1" applyBorder="1" applyAlignment="1">
      <alignment horizontal="center" vertical="center"/>
    </xf>
    <xf numFmtId="0" fontId="55" fillId="15" borderId="16" xfId="16" applyFont="1" applyBorder="1" applyAlignment="1">
      <alignment horizontal="center" vertical="center"/>
    </xf>
    <xf numFmtId="0" fontId="55" fillId="15" borderId="12" xfId="16" applyFont="1" applyBorder="1" applyAlignment="1">
      <alignment horizontal="center" vertical="center"/>
    </xf>
    <xf numFmtId="0" fontId="55" fillId="15" borderId="17" xfId="16" applyFont="1" applyBorder="1" applyAlignment="1">
      <alignment horizontal="center" vertical="center"/>
    </xf>
    <xf numFmtId="0" fontId="22" fillId="0" borderId="50" xfId="0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22" fillId="0" borderId="51" xfId="0" applyFont="1" applyBorder="1" applyAlignment="1">
      <alignment horizontal="center" vertical="center"/>
    </xf>
    <xf numFmtId="0" fontId="30" fillId="15" borderId="11" xfId="16" applyFont="1" applyBorder="1" applyAlignment="1">
      <alignment horizontal="center" vertical="center"/>
    </xf>
    <xf numFmtId="0" fontId="30" fillId="15" borderId="16" xfId="16" applyFont="1" applyBorder="1" applyAlignment="1">
      <alignment horizontal="center" vertical="center"/>
    </xf>
    <xf numFmtId="0" fontId="30" fillId="15" borderId="12" xfId="16" applyFont="1" applyBorder="1" applyAlignment="1">
      <alignment horizontal="center" vertical="center"/>
    </xf>
    <xf numFmtId="0" fontId="30" fillId="15" borderId="17" xfId="16" applyFont="1" applyBorder="1" applyAlignment="1">
      <alignment horizontal="center" vertical="center"/>
    </xf>
    <xf numFmtId="0" fontId="55" fillId="0" borderId="59" xfId="0" applyFont="1" applyBorder="1" applyAlignment="1">
      <alignment horizontal="center" vertical="center"/>
    </xf>
    <xf numFmtId="0" fontId="30" fillId="15" borderId="10" xfId="16" applyFont="1" applyBorder="1" applyAlignment="1">
      <alignment horizontal="center" vertical="center"/>
    </xf>
    <xf numFmtId="0" fontId="30" fillId="15" borderId="15" xfId="16" applyFont="1" applyBorder="1" applyAlignment="1">
      <alignment horizontal="center" vertical="center"/>
    </xf>
    <xf numFmtId="0" fontId="56" fillId="15" borderId="11" xfId="16" applyFont="1" applyBorder="1" applyAlignment="1">
      <alignment horizontal="center" vertical="center"/>
    </xf>
    <xf numFmtId="0" fontId="56" fillId="15" borderId="12" xfId="16" applyFont="1" applyBorder="1" applyAlignment="1">
      <alignment horizontal="center" vertical="center"/>
    </xf>
    <xf numFmtId="0" fontId="56" fillId="15" borderId="16" xfId="16" applyFont="1" applyBorder="1" applyAlignment="1">
      <alignment horizontal="center" vertical="center"/>
    </xf>
    <xf numFmtId="0" fontId="56" fillId="15" borderId="17" xfId="16" applyFont="1" applyBorder="1" applyAlignment="1">
      <alignment horizontal="center" vertical="center"/>
    </xf>
    <xf numFmtId="0" fontId="57" fillId="0" borderId="10" xfId="10" applyFont="1" applyBorder="1" applyAlignment="1">
      <alignment horizontal="center" vertical="center"/>
    </xf>
    <xf numFmtId="0" fontId="57" fillId="0" borderId="11" xfId="10" applyFont="1" applyBorder="1" applyAlignment="1">
      <alignment horizontal="center" vertical="center"/>
    </xf>
    <xf numFmtId="0" fontId="57" fillId="0" borderId="12" xfId="10" applyFont="1" applyBorder="1" applyAlignment="1">
      <alignment horizontal="center" vertical="center"/>
    </xf>
    <xf numFmtId="0" fontId="57" fillId="0" borderId="15" xfId="10" applyFont="1" applyBorder="1" applyAlignment="1">
      <alignment horizontal="center" vertical="center"/>
    </xf>
    <xf numFmtId="0" fontId="57" fillId="0" borderId="16" xfId="10" applyFont="1" applyBorder="1" applyAlignment="1">
      <alignment horizontal="center" vertical="center"/>
    </xf>
    <xf numFmtId="0" fontId="57" fillId="0" borderId="17" xfId="10" applyFont="1" applyBorder="1" applyAlignment="1">
      <alignment horizontal="center" vertical="center"/>
    </xf>
    <xf numFmtId="0" fontId="55" fillId="0" borderId="50" xfId="0" applyFont="1" applyBorder="1" applyAlignment="1">
      <alignment horizontal="center" vertical="center"/>
    </xf>
    <xf numFmtId="0" fontId="55" fillId="0" borderId="51" xfId="0" applyFont="1" applyBorder="1" applyAlignment="1">
      <alignment horizontal="center" vertical="center"/>
    </xf>
    <xf numFmtId="0" fontId="56" fillId="15" borderId="10" xfId="16" applyFont="1" applyBorder="1" applyAlignment="1">
      <alignment horizontal="center" vertical="center"/>
    </xf>
    <xf numFmtId="0" fontId="56" fillId="15" borderId="15" xfId="16" applyFont="1" applyBorder="1" applyAlignment="1">
      <alignment horizontal="center" vertical="center"/>
    </xf>
    <xf numFmtId="0" fontId="3" fillId="3" borderId="0" xfId="2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8" fillId="15" borderId="11" xfId="16" applyFont="1" applyBorder="1" applyAlignment="1">
      <alignment horizontal="center" vertical="center"/>
    </xf>
    <xf numFmtId="0" fontId="58" fillId="15" borderId="16" xfId="16" applyFont="1" applyBorder="1" applyAlignment="1">
      <alignment horizontal="center" vertical="center"/>
    </xf>
    <xf numFmtId="0" fontId="37" fillId="3" borderId="33" xfId="2" applyFont="1" applyBorder="1" applyAlignment="1">
      <alignment horizontal="center"/>
    </xf>
    <xf numFmtId="0" fontId="37" fillId="3" borderId="34" xfId="2" applyFont="1" applyBorder="1" applyAlignment="1">
      <alignment horizontal="center"/>
    </xf>
    <xf numFmtId="0" fontId="37" fillId="3" borderId="35" xfId="2" applyFont="1" applyBorder="1" applyAlignment="1">
      <alignment horizontal="center"/>
    </xf>
    <xf numFmtId="0" fontId="0" fillId="12" borderId="13" xfId="13" applyFont="1" applyBorder="1" applyAlignment="1">
      <alignment horizontal="left" vertical="top" wrapText="1"/>
    </xf>
    <xf numFmtId="0" fontId="0" fillId="12" borderId="0" xfId="13" applyFont="1" applyBorder="1" applyAlignment="1">
      <alignment horizontal="left" vertical="top" wrapText="1"/>
    </xf>
    <xf numFmtId="0" fontId="0" fillId="12" borderId="14" xfId="13" applyFont="1" applyBorder="1" applyAlignment="1">
      <alignment horizontal="left" vertical="top" wrapText="1"/>
    </xf>
    <xf numFmtId="0" fontId="0" fillId="12" borderId="15" xfId="13" applyFont="1" applyBorder="1" applyAlignment="1">
      <alignment horizontal="left" vertical="top" wrapText="1"/>
    </xf>
    <xf numFmtId="0" fontId="0" fillId="12" borderId="16" xfId="13" applyFont="1" applyBorder="1" applyAlignment="1">
      <alignment horizontal="left" vertical="top" wrapText="1"/>
    </xf>
    <xf numFmtId="0" fontId="0" fillId="12" borderId="17" xfId="13" applyFont="1" applyBorder="1" applyAlignment="1">
      <alignment horizontal="left" vertical="top" wrapText="1"/>
    </xf>
    <xf numFmtId="0" fontId="0" fillId="14" borderId="15" xfId="15" applyFont="1" applyBorder="1" applyAlignment="1">
      <alignment horizontal="center"/>
    </xf>
    <xf numFmtId="0" fontId="1" fillId="14" borderId="16" xfId="15" applyBorder="1" applyAlignment="1">
      <alignment horizontal="center"/>
    </xf>
    <xf numFmtId="0" fontId="1" fillId="14" borderId="17" xfId="15" applyBorder="1" applyAlignment="1">
      <alignment horizontal="center"/>
    </xf>
    <xf numFmtId="0" fontId="55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left"/>
    </xf>
    <xf numFmtId="0" fontId="30" fillId="15" borderId="13" xfId="16" applyFont="1" applyBorder="1" applyAlignment="1">
      <alignment horizontal="center" vertical="center"/>
    </xf>
    <xf numFmtId="0" fontId="30" fillId="15" borderId="0" xfId="16" applyFont="1" applyBorder="1" applyAlignment="1">
      <alignment horizontal="center" vertical="center"/>
    </xf>
    <xf numFmtId="0" fontId="30" fillId="15" borderId="14" xfId="16" applyFont="1" applyBorder="1" applyAlignment="1">
      <alignment horizontal="center" vertical="center"/>
    </xf>
    <xf numFmtId="0" fontId="54" fillId="0" borderId="10" xfId="10" applyFont="1" applyBorder="1" applyAlignment="1">
      <alignment horizontal="center" vertical="center"/>
    </xf>
    <xf numFmtId="0" fontId="54" fillId="0" borderId="11" xfId="10" applyFont="1" applyBorder="1" applyAlignment="1">
      <alignment horizontal="center" vertical="center"/>
    </xf>
    <xf numFmtId="0" fontId="54" fillId="0" borderId="12" xfId="10" applyFont="1" applyBorder="1" applyAlignment="1">
      <alignment horizontal="center" vertical="center"/>
    </xf>
    <xf numFmtId="0" fontId="54" fillId="0" borderId="15" xfId="10" applyFont="1" applyBorder="1" applyAlignment="1">
      <alignment horizontal="center" vertical="center"/>
    </xf>
    <xf numFmtId="0" fontId="54" fillId="0" borderId="16" xfId="10" applyFont="1" applyBorder="1" applyAlignment="1">
      <alignment horizontal="center" vertical="center"/>
    </xf>
    <xf numFmtId="0" fontId="54" fillId="0" borderId="17" xfId="10" applyFont="1" applyBorder="1" applyAlignment="1">
      <alignment horizontal="center" vertical="center"/>
    </xf>
    <xf numFmtId="0" fontId="1" fillId="15" borderId="33" xfId="16" applyBorder="1" applyAlignment="1">
      <alignment horizontal="center"/>
    </xf>
    <xf numFmtId="0" fontId="33" fillId="18" borderId="13" xfId="8" applyFont="1" applyFill="1" applyBorder="1" applyAlignment="1">
      <alignment horizontal="center" vertical="center"/>
    </xf>
    <xf numFmtId="0" fontId="33" fillId="18" borderId="0" xfId="8" applyFont="1" applyFill="1" applyBorder="1" applyAlignment="1">
      <alignment horizontal="center" vertical="center"/>
    </xf>
    <xf numFmtId="0" fontId="33" fillId="18" borderId="14" xfId="8" applyFont="1" applyFill="1" applyBorder="1" applyAlignment="1">
      <alignment horizontal="center" vertical="center"/>
    </xf>
    <xf numFmtId="0" fontId="1" fillId="15" borderId="35" xfId="16" applyBorder="1" applyAlignment="1">
      <alignment horizontal="center"/>
    </xf>
    <xf numFmtId="0" fontId="35" fillId="19" borderId="13" xfId="16" applyFont="1" applyFill="1" applyBorder="1" applyAlignment="1">
      <alignment horizontal="center"/>
    </xf>
    <xf numFmtId="0" fontId="35" fillId="19" borderId="0" xfId="16" applyFont="1" applyFill="1" applyBorder="1" applyAlignment="1">
      <alignment horizontal="center"/>
    </xf>
    <xf numFmtId="0" fontId="35" fillId="19" borderId="14" xfId="16" applyFont="1" applyFill="1" applyBorder="1" applyAlignment="1">
      <alignment horizontal="center"/>
    </xf>
    <xf numFmtId="0" fontId="7" fillId="0" borderId="0" xfId="7" applyBorder="1" applyAlignment="1">
      <alignment horizontal="center"/>
    </xf>
    <xf numFmtId="0" fontId="23" fillId="0" borderId="13" xfId="0" applyFont="1" applyBorder="1" applyAlignment="1">
      <alignment horizontal="center" vertical="center"/>
    </xf>
    <xf numFmtId="0" fontId="42" fillId="18" borderId="10" xfId="0" applyFont="1" applyFill="1" applyBorder="1" applyAlignment="1">
      <alignment horizontal="center"/>
    </xf>
    <xf numFmtId="0" fontId="42" fillId="18" borderId="11" xfId="0" applyFont="1" applyFill="1" applyBorder="1" applyAlignment="1">
      <alignment horizontal="center"/>
    </xf>
    <xf numFmtId="0" fontId="42" fillId="18" borderId="12" xfId="0" applyFont="1" applyFill="1" applyBorder="1" applyAlignment="1">
      <alignment horizontal="center"/>
    </xf>
    <xf numFmtId="0" fontId="7" fillId="0" borderId="0" xfId="7" applyBorder="1" applyAlignment="1">
      <alignment horizontal="center" wrapText="1"/>
    </xf>
    <xf numFmtId="0" fontId="7" fillId="0" borderId="14" xfId="7" applyBorder="1" applyAlignment="1">
      <alignment horizontal="center" wrapText="1"/>
    </xf>
    <xf numFmtId="0" fontId="6" fillId="5" borderId="33" xfId="5" applyBorder="1" applyAlignment="1">
      <alignment horizontal="center"/>
    </xf>
    <xf numFmtId="0" fontId="6" fillId="5" borderId="34" xfId="5" applyBorder="1" applyAlignment="1">
      <alignment horizontal="center"/>
    </xf>
    <xf numFmtId="0" fontId="6" fillId="5" borderId="35" xfId="5" applyBorder="1" applyAlignment="1">
      <alignment horizontal="center"/>
    </xf>
    <xf numFmtId="0" fontId="40" fillId="8" borderId="33" xfId="9" applyFont="1" applyBorder="1" applyAlignment="1">
      <alignment horizontal="center"/>
    </xf>
    <xf numFmtId="0" fontId="40" fillId="8" borderId="34" xfId="9" applyFont="1" applyBorder="1" applyAlignment="1">
      <alignment horizontal="center"/>
    </xf>
    <xf numFmtId="0" fontId="40" fillId="8" borderId="35" xfId="9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3" fillId="3" borderId="33" xfId="2" applyBorder="1" applyAlignment="1">
      <alignment horizontal="center"/>
    </xf>
    <xf numFmtId="0" fontId="3" fillId="3" borderId="34" xfId="2" applyBorder="1" applyAlignment="1">
      <alignment horizontal="center"/>
    </xf>
    <xf numFmtId="0" fontId="3" fillId="3" borderId="35" xfId="2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45" fillId="0" borderId="0" xfId="12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vertical="center"/>
    </xf>
    <xf numFmtId="0" fontId="3" fillId="3" borderId="50" xfId="2" applyBorder="1" applyAlignment="1">
      <alignment horizontal="center" wrapText="1"/>
    </xf>
    <xf numFmtId="0" fontId="3" fillId="3" borderId="51" xfId="2" applyBorder="1" applyAlignment="1">
      <alignment horizontal="center" wrapText="1"/>
    </xf>
    <xf numFmtId="0" fontId="2" fillId="2" borderId="50" xfId="1" applyBorder="1" applyAlignment="1">
      <alignment horizontal="center" vertical="center"/>
    </xf>
    <xf numFmtId="0" fontId="2" fillId="2" borderId="51" xfId="1" applyBorder="1" applyAlignment="1">
      <alignment horizontal="center" vertical="center"/>
    </xf>
    <xf numFmtId="0" fontId="7" fillId="0" borderId="13" xfId="7" applyBorder="1" applyAlignment="1">
      <alignment horizontal="center" vertical="center"/>
    </xf>
    <xf numFmtId="0" fontId="7" fillId="0" borderId="0" xfId="7" applyBorder="1" applyAlignment="1">
      <alignment horizontal="center" vertical="center"/>
    </xf>
    <xf numFmtId="0" fontId="7" fillId="0" borderId="14" xfId="7" applyBorder="1" applyAlignment="1">
      <alignment horizontal="center" vertical="center"/>
    </xf>
    <xf numFmtId="0" fontId="7" fillId="0" borderId="15" xfId="7" applyBorder="1" applyAlignment="1">
      <alignment horizontal="center" vertical="center"/>
    </xf>
    <xf numFmtId="0" fontId="7" fillId="0" borderId="16" xfId="7" applyBorder="1" applyAlignment="1">
      <alignment horizontal="center" vertical="center"/>
    </xf>
    <xf numFmtId="0" fontId="7" fillId="0" borderId="17" xfId="7" applyBorder="1" applyAlignment="1">
      <alignment horizontal="center" vertical="center"/>
    </xf>
    <xf numFmtId="0" fontId="1" fillId="14" borderId="10" xfId="15" applyBorder="1" applyAlignment="1">
      <alignment horizontal="center"/>
    </xf>
    <xf numFmtId="0" fontId="1" fillId="14" borderId="12" xfId="15" applyBorder="1" applyAlignment="1">
      <alignment horizontal="center"/>
    </xf>
    <xf numFmtId="0" fontId="1" fillId="14" borderId="13" xfId="15" applyBorder="1" applyAlignment="1">
      <alignment horizontal="center"/>
    </xf>
    <xf numFmtId="0" fontId="1" fillId="14" borderId="14" xfId="15" applyBorder="1" applyAlignment="1">
      <alignment horizontal="center"/>
    </xf>
    <xf numFmtId="0" fontId="1" fillId="14" borderId="15" xfId="15" applyBorder="1" applyAlignment="1">
      <alignment horizontal="center"/>
    </xf>
    <xf numFmtId="0" fontId="2" fillId="2" borderId="33" xfId="1" applyBorder="1" applyAlignment="1">
      <alignment horizontal="center"/>
    </xf>
    <xf numFmtId="0" fontId="2" fillId="2" borderId="35" xfId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3" fillId="3" borderId="50" xfId="2" applyBorder="1" applyAlignment="1">
      <alignment horizontal="left" vertical="top" wrapText="1"/>
    </xf>
    <xf numFmtId="0" fontId="3" fillId="3" borderId="51" xfId="2" applyBorder="1" applyAlignment="1">
      <alignment horizontal="left" vertical="top" wrapText="1"/>
    </xf>
    <xf numFmtId="0" fontId="38" fillId="15" borderId="13" xfId="16" applyFont="1" applyBorder="1" applyAlignment="1">
      <alignment horizontal="center"/>
    </xf>
    <xf numFmtId="0" fontId="38" fillId="15" borderId="0" xfId="16" applyFont="1" applyBorder="1" applyAlignment="1">
      <alignment horizontal="center"/>
    </xf>
    <xf numFmtId="0" fontId="38" fillId="15" borderId="14" xfId="16" applyFont="1" applyBorder="1" applyAlignment="1">
      <alignment horizontal="center"/>
    </xf>
    <xf numFmtId="0" fontId="43" fillId="11" borderId="13" xfId="0" applyFont="1" applyFill="1" applyBorder="1" applyAlignment="1">
      <alignment horizontal="center"/>
    </xf>
    <xf numFmtId="0" fontId="43" fillId="11" borderId="0" xfId="0" applyFont="1" applyFill="1" applyAlignment="1">
      <alignment horizontal="center"/>
    </xf>
    <xf numFmtId="0" fontId="43" fillId="11" borderId="14" xfId="0" applyFont="1" applyFill="1" applyBorder="1" applyAlignment="1">
      <alignment horizontal="center"/>
    </xf>
    <xf numFmtId="0" fontId="3" fillId="3" borderId="33" xfId="2" applyBorder="1" applyAlignment="1">
      <alignment horizontal="center" vertical="center"/>
    </xf>
    <xf numFmtId="0" fontId="3" fillId="3" borderId="34" xfId="2" applyBorder="1" applyAlignment="1">
      <alignment horizontal="center" vertical="center"/>
    </xf>
    <xf numFmtId="0" fontId="3" fillId="3" borderId="35" xfId="2" applyBorder="1" applyAlignment="1">
      <alignment horizontal="center" vertical="center"/>
    </xf>
    <xf numFmtId="0" fontId="2" fillId="11" borderId="10" xfId="1" applyFill="1" applyBorder="1" applyAlignment="1">
      <alignment horizontal="left" vertical="center"/>
    </xf>
    <xf numFmtId="0" fontId="2" fillId="11" borderId="11" xfId="1" applyFill="1" applyBorder="1" applyAlignment="1">
      <alignment horizontal="left" vertical="center"/>
    </xf>
    <xf numFmtId="0" fontId="2" fillId="11" borderId="12" xfId="1" applyFill="1" applyBorder="1" applyAlignment="1">
      <alignment horizontal="left" vertical="center"/>
    </xf>
    <xf numFmtId="0" fontId="2" fillId="11" borderId="13" xfId="1" applyFill="1" applyBorder="1" applyAlignment="1">
      <alignment horizontal="left" vertical="center"/>
    </xf>
    <xf numFmtId="0" fontId="2" fillId="11" borderId="0" xfId="1" applyFill="1" applyBorder="1" applyAlignment="1">
      <alignment horizontal="left" vertical="center"/>
    </xf>
    <xf numFmtId="0" fontId="2" fillId="11" borderId="14" xfId="1" applyFill="1" applyBorder="1" applyAlignment="1">
      <alignment horizontal="left" vertical="center"/>
    </xf>
    <xf numFmtId="0" fontId="2" fillId="11" borderId="15" xfId="1" applyFill="1" applyBorder="1" applyAlignment="1">
      <alignment horizontal="left" vertical="center"/>
    </xf>
    <xf numFmtId="0" fontId="2" fillId="11" borderId="16" xfId="1" applyFill="1" applyBorder="1" applyAlignment="1">
      <alignment horizontal="left" vertical="center"/>
    </xf>
    <xf numFmtId="0" fontId="2" fillId="11" borderId="17" xfId="1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" fillId="2" borderId="10" xfId="1" applyBorder="1" applyAlignment="1">
      <alignment horizontal="center" vertical="center"/>
    </xf>
    <xf numFmtId="0" fontId="2" fillId="2" borderId="15" xfId="1" applyBorder="1" applyAlignment="1">
      <alignment horizontal="center" vertical="center"/>
    </xf>
    <xf numFmtId="0" fontId="2" fillId="2" borderId="11" xfId="1" applyBorder="1" applyAlignment="1">
      <alignment horizontal="center" vertical="center"/>
    </xf>
    <xf numFmtId="0" fontId="2" fillId="2" borderId="16" xfId="1" applyBorder="1" applyAlignment="1">
      <alignment horizontal="center" vertical="center"/>
    </xf>
    <xf numFmtId="0" fontId="10" fillId="8" borderId="36" xfId="9" applyBorder="1" applyAlignment="1">
      <alignment horizontal="center" wrapText="1"/>
    </xf>
    <xf numFmtId="0" fontId="10" fillId="8" borderId="38" xfId="9" applyBorder="1" applyAlignment="1">
      <alignment horizontal="center" wrapText="1"/>
    </xf>
    <xf numFmtId="0" fontId="10" fillId="8" borderId="82" xfId="9" applyBorder="1" applyAlignment="1">
      <alignment horizontal="center" wrapText="1"/>
    </xf>
    <xf numFmtId="0" fontId="10" fillId="8" borderId="0" xfId="9" applyBorder="1" applyAlignment="1">
      <alignment horizontal="center"/>
    </xf>
    <xf numFmtId="0" fontId="7" fillId="8" borderId="0" xfId="7" applyFill="1" applyBorder="1" applyAlignment="1">
      <alignment horizontal="center" wrapText="1"/>
    </xf>
    <xf numFmtId="0" fontId="7" fillId="8" borderId="14" xfId="7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3" fillId="18" borderId="33" xfId="8" applyFont="1" applyFill="1" applyBorder="1" applyAlignment="1">
      <alignment horizontal="center" vertical="center"/>
    </xf>
    <xf numFmtId="0" fontId="33" fillId="18" borderId="34" xfId="8" applyFont="1" applyFill="1" applyBorder="1" applyAlignment="1">
      <alignment horizontal="center" vertical="center"/>
    </xf>
    <xf numFmtId="0" fontId="33" fillId="18" borderId="35" xfId="8" applyFont="1" applyFill="1" applyBorder="1" applyAlignment="1">
      <alignment horizontal="center" vertical="center"/>
    </xf>
    <xf numFmtId="0" fontId="0" fillId="11" borderId="33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35" fillId="15" borderId="13" xfId="16" applyFont="1" applyBorder="1" applyAlignment="1">
      <alignment horizontal="center"/>
    </xf>
    <xf numFmtId="0" fontId="35" fillId="15" borderId="0" xfId="16" applyFont="1" applyBorder="1" applyAlignment="1">
      <alignment horizontal="center"/>
    </xf>
    <xf numFmtId="0" fontId="35" fillId="15" borderId="14" xfId="16" applyFont="1" applyBorder="1" applyAlignment="1">
      <alignment horizontal="center"/>
    </xf>
    <xf numFmtId="0" fontId="1" fillId="16" borderId="33" xfId="16" applyFill="1" applyBorder="1" applyAlignment="1">
      <alignment horizontal="center"/>
    </xf>
    <xf numFmtId="0" fontId="1" fillId="16" borderId="34" xfId="16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8" borderId="37" xfId="9" applyBorder="1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18">
    <cellStyle name="20% - Accent1" xfId="13" builtinId="30"/>
    <cellStyle name="20% - Accent4" xfId="15" builtinId="42"/>
    <cellStyle name="20% - Accent5" xfId="16" builtinId="46"/>
    <cellStyle name="40% - Accent2" xfId="14" builtinId="35"/>
    <cellStyle name="Bad" xfId="9" builtinId="27"/>
    <cellStyle name="Calculation" xfId="5" builtinId="22"/>
    <cellStyle name="Explanatory Text" xfId="7" builtinId="53"/>
    <cellStyle name="Good" xfId="1" builtinId="26"/>
    <cellStyle name="Heading 1" xfId="10" builtinId="16"/>
    <cellStyle name="Heading 4" xfId="12" builtinId="19"/>
    <cellStyle name="Hyperlink" xfId="11" builtinId="8"/>
    <cellStyle name="Input" xfId="3" builtinId="20"/>
    <cellStyle name="Neutral" xfId="2" builtinId="28"/>
    <cellStyle name="Normal" xfId="0" builtinId="0"/>
    <cellStyle name="Normal 2" xfId="17" xr:uid="{E6882BFA-8AD4-44F7-BF2A-CCBE25D5ACC8}"/>
    <cellStyle name="Note" xfId="6" builtinId="10"/>
    <cellStyle name="Output" xfId="4" builtinId="21"/>
    <cellStyle name="Title" xfId="8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25</xdr:row>
          <xdr:rowOff>19050</xdr:rowOff>
        </xdr:from>
        <xdr:to>
          <xdr:col>10</xdr:col>
          <xdr:colOff>0</xdr:colOff>
          <xdr:row>27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U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Determinant (4x4)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600075</xdr:colOff>
          <xdr:row>8</xdr:row>
          <xdr:rowOff>0</xdr:rowOff>
        </xdr:from>
        <xdr:to>
          <xdr:col>23</xdr:col>
          <xdr:colOff>19050</xdr:colOff>
          <xdr:row>10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U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Inverse (4x4)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12</xdr:row>
          <xdr:rowOff>0</xdr:rowOff>
        </xdr:from>
        <xdr:to>
          <xdr:col>23</xdr:col>
          <xdr:colOff>0</xdr:colOff>
          <xdr:row>14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U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308741</xdr:colOff>
      <xdr:row>44</xdr:row>
      <xdr:rowOff>0</xdr:rowOff>
    </xdr:from>
    <xdr:to>
      <xdr:col>6</xdr:col>
      <xdr:colOff>308741</xdr:colOff>
      <xdr:row>46</xdr:row>
      <xdr:rowOff>6569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677E58F2-5A42-D06A-ED0A-8F0D006099D0}"/>
            </a:ext>
          </a:extLst>
        </xdr:cNvPr>
        <xdr:cNvCxnSpPr/>
      </xdr:nvCxnSpPr>
      <xdr:spPr>
        <a:xfrm>
          <a:off x="3363310" y="425669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328449</xdr:colOff>
      <xdr:row>44</xdr:row>
      <xdr:rowOff>0</xdr:rowOff>
    </xdr:from>
    <xdr:to>
      <xdr:col>9</xdr:col>
      <xdr:colOff>328449</xdr:colOff>
      <xdr:row>46</xdr:row>
      <xdr:rowOff>6569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F9BCBD3C-368D-D71E-2FE8-1804BEC3BD36}"/>
            </a:ext>
          </a:extLst>
        </xdr:cNvPr>
        <xdr:cNvCxnSpPr/>
      </xdr:nvCxnSpPr>
      <xdr:spPr>
        <a:xfrm>
          <a:off x="5215759" y="425669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295603</xdr:colOff>
      <xdr:row>46</xdr:row>
      <xdr:rowOff>0</xdr:rowOff>
    </xdr:from>
    <xdr:to>
      <xdr:col>9</xdr:col>
      <xdr:colOff>328449</xdr:colOff>
      <xdr:row>46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802EF0C6-DF75-95A2-DBFB-EDD265D23797}"/>
            </a:ext>
          </a:extLst>
        </xdr:cNvPr>
        <xdr:cNvCxnSpPr/>
      </xdr:nvCxnSpPr>
      <xdr:spPr>
        <a:xfrm>
          <a:off x="3350172" y="4637690"/>
          <a:ext cx="1865587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308742</xdr:colOff>
      <xdr:row>46</xdr:row>
      <xdr:rowOff>26276</xdr:rowOff>
    </xdr:from>
    <xdr:to>
      <xdr:col>7</xdr:col>
      <xdr:colOff>308742</xdr:colOff>
      <xdr:row>47</xdr:row>
      <xdr:rowOff>59120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AA7907B-321A-42DB-E3E7-FA0D064CAC28}"/>
            </a:ext>
          </a:extLst>
        </xdr:cNvPr>
        <xdr:cNvCxnSpPr/>
      </xdr:nvCxnSpPr>
      <xdr:spPr>
        <a:xfrm>
          <a:off x="3974225" y="4663966"/>
          <a:ext cx="0" cy="22334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308741</xdr:colOff>
      <xdr:row>48</xdr:row>
      <xdr:rowOff>0</xdr:rowOff>
    </xdr:from>
    <xdr:to>
      <xdr:col>7</xdr:col>
      <xdr:colOff>308741</xdr:colOff>
      <xdr:row>50</xdr:row>
      <xdr:rowOff>170793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3E41AB1-4375-4046-8A56-620CAEC99443}"/>
            </a:ext>
          </a:extLst>
        </xdr:cNvPr>
        <xdr:cNvCxnSpPr/>
      </xdr:nvCxnSpPr>
      <xdr:spPr>
        <a:xfrm>
          <a:off x="3974224" y="5018690"/>
          <a:ext cx="0" cy="55179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302172</xdr:colOff>
      <xdr:row>56</xdr:row>
      <xdr:rowOff>6569</xdr:rowOff>
    </xdr:from>
    <xdr:to>
      <xdr:col>4</xdr:col>
      <xdr:colOff>302172</xdr:colOff>
      <xdr:row>58</xdr:row>
      <xdr:rowOff>13138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432AD8B1-CC04-4E17-BC9C-BB7D3ADC1532}"/>
            </a:ext>
          </a:extLst>
        </xdr:cNvPr>
        <xdr:cNvCxnSpPr/>
      </xdr:nvCxnSpPr>
      <xdr:spPr>
        <a:xfrm>
          <a:off x="2134913" y="654925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321879</xdr:colOff>
      <xdr:row>56</xdr:row>
      <xdr:rowOff>6569</xdr:rowOff>
    </xdr:from>
    <xdr:to>
      <xdr:col>7</xdr:col>
      <xdr:colOff>321879</xdr:colOff>
      <xdr:row>58</xdr:row>
      <xdr:rowOff>13138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B96A71A-1BF5-4ED7-A43F-12A7E93D1DEC}"/>
            </a:ext>
          </a:extLst>
        </xdr:cNvPr>
        <xdr:cNvCxnSpPr/>
      </xdr:nvCxnSpPr>
      <xdr:spPr>
        <a:xfrm>
          <a:off x="3987362" y="654925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289034</xdr:colOff>
      <xdr:row>58</xdr:row>
      <xdr:rowOff>6569</xdr:rowOff>
    </xdr:from>
    <xdr:to>
      <xdr:col>7</xdr:col>
      <xdr:colOff>321879</xdr:colOff>
      <xdr:row>58</xdr:row>
      <xdr:rowOff>6569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85A63C85-B941-4512-8953-E6CF709D69AF}"/>
            </a:ext>
          </a:extLst>
        </xdr:cNvPr>
        <xdr:cNvCxnSpPr/>
      </xdr:nvCxnSpPr>
      <xdr:spPr>
        <a:xfrm>
          <a:off x="2121775" y="6930259"/>
          <a:ext cx="1865587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610913</xdr:colOff>
      <xdr:row>58</xdr:row>
      <xdr:rowOff>19707</xdr:rowOff>
    </xdr:from>
    <xdr:to>
      <xdr:col>5</xdr:col>
      <xdr:colOff>610913</xdr:colOff>
      <xdr:row>60</xdr:row>
      <xdr:rowOff>111672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D93CB4F0-D3D1-4730-B984-146C2864CB4F}"/>
            </a:ext>
          </a:extLst>
        </xdr:cNvPr>
        <xdr:cNvCxnSpPr/>
      </xdr:nvCxnSpPr>
      <xdr:spPr>
        <a:xfrm>
          <a:off x="3054568" y="6943397"/>
          <a:ext cx="0" cy="47296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480391</xdr:colOff>
      <xdr:row>24</xdr:row>
      <xdr:rowOff>8283</xdr:rowOff>
    </xdr:from>
    <xdr:to>
      <xdr:col>2</xdr:col>
      <xdr:colOff>314739</xdr:colOff>
      <xdr:row>29</xdr:row>
      <xdr:rowOff>132522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4C13B73-4CD4-6E2A-486D-833BD186B875}"/>
            </a:ext>
          </a:extLst>
        </xdr:cNvPr>
        <xdr:cNvCxnSpPr/>
      </xdr:nvCxnSpPr>
      <xdr:spPr>
        <a:xfrm flipH="1">
          <a:off x="1093304" y="4174435"/>
          <a:ext cx="447261" cy="107673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318052</xdr:colOff>
      <xdr:row>24</xdr:row>
      <xdr:rowOff>11597</xdr:rowOff>
    </xdr:from>
    <xdr:to>
      <xdr:col>5</xdr:col>
      <xdr:colOff>265044</xdr:colOff>
      <xdr:row>29</xdr:row>
      <xdr:rowOff>157370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EB5E4E5-65F1-43E2-BEBF-22A8FD199145}"/>
            </a:ext>
          </a:extLst>
        </xdr:cNvPr>
        <xdr:cNvCxnSpPr/>
      </xdr:nvCxnSpPr>
      <xdr:spPr>
        <a:xfrm>
          <a:off x="1543878" y="4177749"/>
          <a:ext cx="1785731" cy="109827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19</xdr:row>
      <xdr:rowOff>99391</xdr:rowOff>
    </xdr:from>
    <xdr:to>
      <xdr:col>15</xdr:col>
      <xdr:colOff>596347</xdr:colOff>
      <xdr:row>24</xdr:row>
      <xdr:rowOff>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A6853A6-9801-4758-B75C-52D6EFAACCB2}"/>
            </a:ext>
          </a:extLst>
        </xdr:cNvPr>
        <xdr:cNvCxnSpPr/>
      </xdr:nvCxnSpPr>
      <xdr:spPr>
        <a:xfrm flipV="1">
          <a:off x="7967870" y="3304761"/>
          <a:ext cx="1822173" cy="86139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16565</xdr:colOff>
      <xdr:row>22</xdr:row>
      <xdr:rowOff>198781</xdr:rowOff>
    </xdr:from>
    <xdr:to>
      <xdr:col>23</xdr:col>
      <xdr:colOff>16565</xdr:colOff>
      <xdr:row>29</xdr:row>
      <xdr:rowOff>132522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AB91B842-57CC-4598-A155-A0DD35778285}"/>
            </a:ext>
          </a:extLst>
        </xdr:cNvPr>
        <xdr:cNvCxnSpPr/>
      </xdr:nvCxnSpPr>
      <xdr:spPr>
        <a:xfrm>
          <a:off x="14113565" y="3975651"/>
          <a:ext cx="0" cy="127552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41</xdr:row>
      <xdr:rowOff>171450</xdr:rowOff>
    </xdr:from>
    <xdr:to>
      <xdr:col>16</xdr:col>
      <xdr:colOff>0</xdr:colOff>
      <xdr:row>54</xdr:row>
      <xdr:rowOff>123825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B35FB967-7F6D-42A1-BC2D-2475345ACDF5}"/>
            </a:ext>
          </a:extLst>
        </xdr:cNvPr>
        <xdr:cNvCxnSpPr/>
      </xdr:nvCxnSpPr>
      <xdr:spPr>
        <a:xfrm flipH="1" flipV="1">
          <a:off x="7943850" y="7743825"/>
          <a:ext cx="1809750" cy="24288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65</xdr:row>
      <xdr:rowOff>0</xdr:rowOff>
    </xdr:from>
    <xdr:to>
      <xdr:col>6</xdr:col>
      <xdr:colOff>19050</xdr:colOff>
      <xdr:row>69</xdr:row>
      <xdr:rowOff>171450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AF297CF0-559A-4B36-B964-F9127E7CDB2C}"/>
            </a:ext>
          </a:extLst>
        </xdr:cNvPr>
        <xdr:cNvCxnSpPr/>
      </xdr:nvCxnSpPr>
      <xdr:spPr>
        <a:xfrm>
          <a:off x="3676650" y="12163425"/>
          <a:ext cx="0" cy="9334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308741</xdr:colOff>
      <xdr:row>121</xdr:row>
      <xdr:rowOff>28575</xdr:rowOff>
    </xdr:from>
    <xdr:to>
      <xdr:col>9</xdr:col>
      <xdr:colOff>308741</xdr:colOff>
      <xdr:row>124</xdr:row>
      <xdr:rowOff>6569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FDAB75C-0117-4E9C-B38A-0D60B4129D88}"/>
            </a:ext>
          </a:extLst>
        </xdr:cNvPr>
        <xdr:cNvCxnSpPr/>
      </xdr:nvCxnSpPr>
      <xdr:spPr>
        <a:xfrm>
          <a:off x="5795141" y="23479125"/>
          <a:ext cx="0" cy="5494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80799</xdr:colOff>
      <xdr:row>121</xdr:row>
      <xdr:rowOff>28575</xdr:rowOff>
    </xdr:from>
    <xdr:to>
      <xdr:col>12</xdr:col>
      <xdr:colOff>80799</xdr:colOff>
      <xdr:row>124</xdr:row>
      <xdr:rowOff>6569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BAFA0B0E-FFF3-48C3-9AA0-FF1031D1129E}"/>
            </a:ext>
          </a:extLst>
        </xdr:cNvPr>
        <xdr:cNvCxnSpPr/>
      </xdr:nvCxnSpPr>
      <xdr:spPr>
        <a:xfrm>
          <a:off x="7395999" y="23479125"/>
          <a:ext cx="0" cy="5494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295603</xdr:colOff>
      <xdr:row>124</xdr:row>
      <xdr:rowOff>0</xdr:rowOff>
    </xdr:from>
    <xdr:to>
      <xdr:col>12</xdr:col>
      <xdr:colOff>65171</xdr:colOff>
      <xdr:row>124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936CAAD-FF50-445F-91BE-F5B512709238}"/>
            </a:ext>
          </a:extLst>
        </xdr:cNvPr>
        <xdr:cNvCxnSpPr/>
      </xdr:nvCxnSpPr>
      <xdr:spPr>
        <a:xfrm>
          <a:off x="5800050" y="24063158"/>
          <a:ext cx="1604384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308742</xdr:colOff>
      <xdr:row>124</xdr:row>
      <xdr:rowOff>26276</xdr:rowOff>
    </xdr:from>
    <xdr:to>
      <xdr:col>10</xdr:col>
      <xdr:colOff>308742</xdr:colOff>
      <xdr:row>125</xdr:row>
      <xdr:rowOff>59120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F930CC4-8A08-48C8-BDF6-83C2EBC1E282}"/>
            </a:ext>
          </a:extLst>
        </xdr:cNvPr>
        <xdr:cNvCxnSpPr/>
      </xdr:nvCxnSpPr>
      <xdr:spPr>
        <a:xfrm>
          <a:off x="4575942" y="8922626"/>
          <a:ext cx="0" cy="23286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308741</xdr:colOff>
      <xdr:row>126</xdr:row>
      <xdr:rowOff>0</xdr:rowOff>
    </xdr:from>
    <xdr:to>
      <xdr:col>10</xdr:col>
      <xdr:colOff>308741</xdr:colOff>
      <xdr:row>128</xdr:row>
      <xdr:rowOff>33617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0613214-087D-4516-9662-DD84878BB202}"/>
            </a:ext>
          </a:extLst>
        </xdr:cNvPr>
        <xdr:cNvCxnSpPr/>
      </xdr:nvCxnSpPr>
      <xdr:spPr>
        <a:xfrm>
          <a:off x="6359917" y="25751118"/>
          <a:ext cx="0" cy="42582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302172</xdr:colOff>
      <xdr:row>135</xdr:row>
      <xdr:rowOff>6569</xdr:rowOff>
    </xdr:from>
    <xdr:to>
      <xdr:col>7</xdr:col>
      <xdr:colOff>302172</xdr:colOff>
      <xdr:row>137</xdr:row>
      <xdr:rowOff>13138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0B109FC-B426-4E95-8D12-297EA32F914B}"/>
            </a:ext>
          </a:extLst>
        </xdr:cNvPr>
        <xdr:cNvCxnSpPr/>
      </xdr:nvCxnSpPr>
      <xdr:spPr>
        <a:xfrm>
          <a:off x="2740572" y="10893644"/>
          <a:ext cx="0" cy="40661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321879</xdr:colOff>
      <xdr:row>135</xdr:row>
      <xdr:rowOff>6569</xdr:rowOff>
    </xdr:from>
    <xdr:to>
      <xdr:col>10</xdr:col>
      <xdr:colOff>321879</xdr:colOff>
      <xdr:row>137</xdr:row>
      <xdr:rowOff>13138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41CFE88-0D78-4FA7-81F9-574F3B01DC3F}"/>
            </a:ext>
          </a:extLst>
        </xdr:cNvPr>
        <xdr:cNvCxnSpPr/>
      </xdr:nvCxnSpPr>
      <xdr:spPr>
        <a:xfrm>
          <a:off x="4589079" y="10893644"/>
          <a:ext cx="0" cy="40661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289034</xdr:colOff>
      <xdr:row>137</xdr:row>
      <xdr:rowOff>6569</xdr:rowOff>
    </xdr:from>
    <xdr:to>
      <xdr:col>10</xdr:col>
      <xdr:colOff>321879</xdr:colOff>
      <xdr:row>137</xdr:row>
      <xdr:rowOff>6569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CCF2CB0-1C0C-4DA5-966C-45027975B042}"/>
            </a:ext>
          </a:extLst>
        </xdr:cNvPr>
        <xdr:cNvCxnSpPr/>
      </xdr:nvCxnSpPr>
      <xdr:spPr>
        <a:xfrm>
          <a:off x="2727434" y="11293694"/>
          <a:ext cx="186164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610913</xdr:colOff>
      <xdr:row>137</xdr:row>
      <xdr:rowOff>19707</xdr:rowOff>
    </xdr:from>
    <xdr:to>
      <xdr:col>8</xdr:col>
      <xdr:colOff>610913</xdr:colOff>
      <xdr:row>139</xdr:row>
      <xdr:rowOff>111672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9DCAC501-8044-4417-9047-A8F465337A9C}"/>
            </a:ext>
          </a:extLst>
        </xdr:cNvPr>
        <xdr:cNvCxnSpPr/>
      </xdr:nvCxnSpPr>
      <xdr:spPr>
        <a:xfrm>
          <a:off x="3658913" y="11306832"/>
          <a:ext cx="0" cy="4920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215348</xdr:colOff>
      <xdr:row>98</xdr:row>
      <xdr:rowOff>8283</xdr:rowOff>
    </xdr:from>
    <xdr:to>
      <xdr:col>4</xdr:col>
      <xdr:colOff>1</xdr:colOff>
      <xdr:row>103</xdr:row>
      <xdr:rowOff>11963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48BCE0BC-4135-4594-B7FA-B007A1592BDA}"/>
            </a:ext>
          </a:extLst>
        </xdr:cNvPr>
        <xdr:cNvCxnSpPr/>
      </xdr:nvCxnSpPr>
      <xdr:spPr>
        <a:xfrm flipH="1">
          <a:off x="2054087" y="19812000"/>
          <a:ext cx="397566" cy="96446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3314</xdr:colOff>
      <xdr:row>98</xdr:row>
      <xdr:rowOff>11597</xdr:rowOff>
    </xdr:from>
    <xdr:to>
      <xdr:col>8</xdr:col>
      <xdr:colOff>223631</xdr:colOff>
      <xdr:row>102</xdr:row>
      <xdr:rowOff>165653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E2BAF9E2-F975-432D-8694-4F782A0D90D2}"/>
            </a:ext>
          </a:extLst>
        </xdr:cNvPr>
        <xdr:cNvCxnSpPr/>
      </xdr:nvCxnSpPr>
      <xdr:spPr>
        <a:xfrm>
          <a:off x="2454966" y="19815314"/>
          <a:ext cx="2671969" cy="91605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593911</xdr:colOff>
      <xdr:row>91</xdr:row>
      <xdr:rowOff>145676</xdr:rowOff>
    </xdr:from>
    <xdr:to>
      <xdr:col>17</xdr:col>
      <xdr:colOff>593912</xdr:colOff>
      <xdr:row>107</xdr:row>
      <xdr:rowOff>89647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CF76F21-3CCD-450F-A956-DDB784F09085}"/>
            </a:ext>
          </a:extLst>
        </xdr:cNvPr>
        <xdr:cNvCxnSpPr/>
      </xdr:nvCxnSpPr>
      <xdr:spPr>
        <a:xfrm flipV="1">
          <a:off x="9670676" y="18837088"/>
          <a:ext cx="1210236" cy="324970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392206</xdr:colOff>
      <xdr:row>103</xdr:row>
      <xdr:rowOff>11206</xdr:rowOff>
    </xdr:from>
    <xdr:to>
      <xdr:col>28</xdr:col>
      <xdr:colOff>392206</xdr:colOff>
      <xdr:row>106</xdr:row>
      <xdr:rowOff>11206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3B0AA511-78F0-4CB3-BEB7-5A2E5E8CFF5B}"/>
            </a:ext>
          </a:extLst>
        </xdr:cNvPr>
        <xdr:cNvCxnSpPr/>
      </xdr:nvCxnSpPr>
      <xdr:spPr>
        <a:xfrm>
          <a:off x="18960353" y="21145500"/>
          <a:ext cx="0" cy="59391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22412</xdr:colOff>
      <xdr:row>116</xdr:row>
      <xdr:rowOff>145676</xdr:rowOff>
    </xdr:from>
    <xdr:to>
      <xdr:col>17</xdr:col>
      <xdr:colOff>571500</xdr:colOff>
      <xdr:row>142</xdr:row>
      <xdr:rowOff>100853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31A22574-6875-4F26-B88C-217A5A2396AA}"/>
            </a:ext>
          </a:extLst>
        </xdr:cNvPr>
        <xdr:cNvCxnSpPr/>
      </xdr:nvCxnSpPr>
      <xdr:spPr>
        <a:xfrm flipH="1" flipV="1">
          <a:off x="9704294" y="23969382"/>
          <a:ext cx="1154206" cy="508747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11206</xdr:colOff>
      <xdr:row>146</xdr:row>
      <xdr:rowOff>-1</xdr:rowOff>
    </xdr:from>
    <xdr:to>
      <xdr:col>9</xdr:col>
      <xdr:colOff>22411</xdr:colOff>
      <xdr:row>152</xdr:row>
      <xdr:rowOff>33617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AC82D36A-43FB-47A5-B526-13773CA9E06E}"/>
            </a:ext>
          </a:extLst>
        </xdr:cNvPr>
        <xdr:cNvCxnSpPr/>
      </xdr:nvCxnSpPr>
      <xdr:spPr>
        <a:xfrm flipH="1">
          <a:off x="5457265" y="29762823"/>
          <a:ext cx="11205" cy="124385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308741</xdr:colOff>
      <xdr:row>43</xdr:row>
      <xdr:rowOff>0</xdr:rowOff>
    </xdr:from>
    <xdr:to>
      <xdr:col>6</xdr:col>
      <xdr:colOff>308741</xdr:colOff>
      <xdr:row>45</xdr:row>
      <xdr:rowOff>6569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84DE064D-D496-48B9-8482-B1198EBB4B35}"/>
            </a:ext>
          </a:extLst>
        </xdr:cNvPr>
        <xdr:cNvCxnSpPr/>
      </xdr:nvCxnSpPr>
      <xdr:spPr>
        <a:xfrm>
          <a:off x="3356741" y="426720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328449</xdr:colOff>
      <xdr:row>43</xdr:row>
      <xdr:rowOff>0</xdr:rowOff>
    </xdr:from>
    <xdr:to>
      <xdr:col>9</xdr:col>
      <xdr:colOff>328449</xdr:colOff>
      <xdr:row>45</xdr:row>
      <xdr:rowOff>6569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61A5FCBC-156A-4181-83E7-76B8203CA966}"/>
            </a:ext>
          </a:extLst>
        </xdr:cNvPr>
        <xdr:cNvCxnSpPr/>
      </xdr:nvCxnSpPr>
      <xdr:spPr>
        <a:xfrm>
          <a:off x="5205249" y="426720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295603</xdr:colOff>
      <xdr:row>45</xdr:row>
      <xdr:rowOff>0</xdr:rowOff>
    </xdr:from>
    <xdr:to>
      <xdr:col>9</xdr:col>
      <xdr:colOff>328449</xdr:colOff>
      <xdr:row>45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214EFE-5EB8-46C4-B3F4-2E8921BA2E0A}"/>
            </a:ext>
          </a:extLst>
        </xdr:cNvPr>
        <xdr:cNvCxnSpPr/>
      </xdr:nvCxnSpPr>
      <xdr:spPr>
        <a:xfrm>
          <a:off x="3343603" y="4648200"/>
          <a:ext cx="1861646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308742</xdr:colOff>
      <xdr:row>45</xdr:row>
      <xdr:rowOff>26276</xdr:rowOff>
    </xdr:from>
    <xdr:to>
      <xdr:col>7</xdr:col>
      <xdr:colOff>308742</xdr:colOff>
      <xdr:row>46</xdr:row>
      <xdr:rowOff>59120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E54A450-49E5-47A1-9F4D-CC4B9C89EB0D}"/>
            </a:ext>
          </a:extLst>
        </xdr:cNvPr>
        <xdr:cNvCxnSpPr/>
      </xdr:nvCxnSpPr>
      <xdr:spPr>
        <a:xfrm>
          <a:off x="3966342" y="4674476"/>
          <a:ext cx="0" cy="22334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308741</xdr:colOff>
      <xdr:row>47</xdr:row>
      <xdr:rowOff>0</xdr:rowOff>
    </xdr:from>
    <xdr:to>
      <xdr:col>7</xdr:col>
      <xdr:colOff>308741</xdr:colOff>
      <xdr:row>49</xdr:row>
      <xdr:rowOff>170793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AD5614C-E636-4773-B8B1-66FB454652B7}"/>
            </a:ext>
          </a:extLst>
        </xdr:cNvPr>
        <xdr:cNvCxnSpPr/>
      </xdr:nvCxnSpPr>
      <xdr:spPr>
        <a:xfrm>
          <a:off x="3966341" y="5029200"/>
          <a:ext cx="0" cy="55179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302172</xdr:colOff>
      <xdr:row>55</xdr:row>
      <xdr:rowOff>6569</xdr:rowOff>
    </xdr:from>
    <xdr:to>
      <xdr:col>4</xdr:col>
      <xdr:colOff>302172</xdr:colOff>
      <xdr:row>57</xdr:row>
      <xdr:rowOff>13138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09BD6C6-BA49-479F-9FB3-1A455D3BA4D4}"/>
            </a:ext>
          </a:extLst>
        </xdr:cNvPr>
        <xdr:cNvCxnSpPr/>
      </xdr:nvCxnSpPr>
      <xdr:spPr>
        <a:xfrm>
          <a:off x="2130972" y="655976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321879</xdr:colOff>
      <xdr:row>55</xdr:row>
      <xdr:rowOff>6569</xdr:rowOff>
    </xdr:from>
    <xdr:to>
      <xdr:col>7</xdr:col>
      <xdr:colOff>321879</xdr:colOff>
      <xdr:row>57</xdr:row>
      <xdr:rowOff>13138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BBCC87B5-F632-4387-9802-2F1B4BEC2DFC}"/>
            </a:ext>
          </a:extLst>
        </xdr:cNvPr>
        <xdr:cNvCxnSpPr/>
      </xdr:nvCxnSpPr>
      <xdr:spPr>
        <a:xfrm>
          <a:off x="3979479" y="655976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289034</xdr:colOff>
      <xdr:row>57</xdr:row>
      <xdr:rowOff>6569</xdr:rowOff>
    </xdr:from>
    <xdr:to>
      <xdr:col>7</xdr:col>
      <xdr:colOff>321879</xdr:colOff>
      <xdr:row>57</xdr:row>
      <xdr:rowOff>6569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4A3CA55A-FF75-47CC-B5F0-E2601331011B}"/>
            </a:ext>
          </a:extLst>
        </xdr:cNvPr>
        <xdr:cNvCxnSpPr/>
      </xdr:nvCxnSpPr>
      <xdr:spPr>
        <a:xfrm>
          <a:off x="2117834" y="6940769"/>
          <a:ext cx="186164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610913</xdr:colOff>
      <xdr:row>57</xdr:row>
      <xdr:rowOff>19707</xdr:rowOff>
    </xdr:from>
    <xdr:to>
      <xdr:col>5</xdr:col>
      <xdr:colOff>610913</xdr:colOff>
      <xdr:row>59</xdr:row>
      <xdr:rowOff>111672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2709515-8AF0-40BE-BEFD-AAB6AA42AFC1}"/>
            </a:ext>
          </a:extLst>
        </xdr:cNvPr>
        <xdr:cNvCxnSpPr/>
      </xdr:nvCxnSpPr>
      <xdr:spPr>
        <a:xfrm>
          <a:off x="3049313" y="6953907"/>
          <a:ext cx="0" cy="47296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308741</xdr:colOff>
      <xdr:row>43</xdr:row>
      <xdr:rowOff>0</xdr:rowOff>
    </xdr:from>
    <xdr:to>
      <xdr:col>6</xdr:col>
      <xdr:colOff>308741</xdr:colOff>
      <xdr:row>45</xdr:row>
      <xdr:rowOff>6569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17B06FA3-4910-42CF-B17F-980953304E5C}"/>
            </a:ext>
          </a:extLst>
        </xdr:cNvPr>
        <xdr:cNvCxnSpPr/>
      </xdr:nvCxnSpPr>
      <xdr:spPr>
        <a:xfrm>
          <a:off x="3356741" y="426720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328449</xdr:colOff>
      <xdr:row>43</xdr:row>
      <xdr:rowOff>0</xdr:rowOff>
    </xdr:from>
    <xdr:to>
      <xdr:col>9</xdr:col>
      <xdr:colOff>328449</xdr:colOff>
      <xdr:row>45</xdr:row>
      <xdr:rowOff>6569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3EBD199-1F73-4E45-9B6D-2DCC925DAE3C}"/>
            </a:ext>
          </a:extLst>
        </xdr:cNvPr>
        <xdr:cNvCxnSpPr/>
      </xdr:nvCxnSpPr>
      <xdr:spPr>
        <a:xfrm>
          <a:off x="5205249" y="4267200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261985</xdr:colOff>
      <xdr:row>45</xdr:row>
      <xdr:rowOff>11206</xdr:rowOff>
    </xdr:from>
    <xdr:to>
      <xdr:col>9</xdr:col>
      <xdr:colOff>294831</xdr:colOff>
      <xdr:row>45</xdr:row>
      <xdr:rowOff>11206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2BD7FDCF-7F48-4B8F-A7EB-35CB545A5AB4}"/>
            </a:ext>
          </a:extLst>
        </xdr:cNvPr>
        <xdr:cNvCxnSpPr/>
      </xdr:nvCxnSpPr>
      <xdr:spPr>
        <a:xfrm>
          <a:off x="3892691" y="8796618"/>
          <a:ext cx="1848199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308742</xdr:colOff>
      <xdr:row>45</xdr:row>
      <xdr:rowOff>26276</xdr:rowOff>
    </xdr:from>
    <xdr:to>
      <xdr:col>7</xdr:col>
      <xdr:colOff>308742</xdr:colOff>
      <xdr:row>46</xdr:row>
      <xdr:rowOff>59120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7D0CF09-7312-49B4-9435-4D2537972EA7}"/>
            </a:ext>
          </a:extLst>
        </xdr:cNvPr>
        <xdr:cNvCxnSpPr/>
      </xdr:nvCxnSpPr>
      <xdr:spPr>
        <a:xfrm>
          <a:off x="3966342" y="4674476"/>
          <a:ext cx="0" cy="22334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308741</xdr:colOff>
      <xdr:row>47</xdr:row>
      <xdr:rowOff>0</xdr:rowOff>
    </xdr:from>
    <xdr:to>
      <xdr:col>7</xdr:col>
      <xdr:colOff>308741</xdr:colOff>
      <xdr:row>49</xdr:row>
      <xdr:rowOff>170793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67CFCFA-3BF0-4F5F-BE3E-8846E7003E05}"/>
            </a:ext>
          </a:extLst>
        </xdr:cNvPr>
        <xdr:cNvCxnSpPr/>
      </xdr:nvCxnSpPr>
      <xdr:spPr>
        <a:xfrm>
          <a:off x="3966341" y="5029200"/>
          <a:ext cx="0" cy="55179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302172</xdr:colOff>
      <xdr:row>55</xdr:row>
      <xdr:rowOff>6569</xdr:rowOff>
    </xdr:from>
    <xdr:to>
      <xdr:col>4</xdr:col>
      <xdr:colOff>302172</xdr:colOff>
      <xdr:row>57</xdr:row>
      <xdr:rowOff>13138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EC22D106-46AF-41B6-B67A-264DE159BFB5}"/>
            </a:ext>
          </a:extLst>
        </xdr:cNvPr>
        <xdr:cNvCxnSpPr/>
      </xdr:nvCxnSpPr>
      <xdr:spPr>
        <a:xfrm>
          <a:off x="2130972" y="655976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321879</xdr:colOff>
      <xdr:row>55</xdr:row>
      <xdr:rowOff>6569</xdr:rowOff>
    </xdr:from>
    <xdr:to>
      <xdr:col>7</xdr:col>
      <xdr:colOff>321879</xdr:colOff>
      <xdr:row>57</xdr:row>
      <xdr:rowOff>13138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D58FAE9E-B568-41A2-80AB-45DC44C9A35A}"/>
            </a:ext>
          </a:extLst>
        </xdr:cNvPr>
        <xdr:cNvCxnSpPr/>
      </xdr:nvCxnSpPr>
      <xdr:spPr>
        <a:xfrm>
          <a:off x="3979479" y="6559769"/>
          <a:ext cx="0" cy="38756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289034</xdr:colOff>
      <xdr:row>57</xdr:row>
      <xdr:rowOff>6569</xdr:rowOff>
    </xdr:from>
    <xdr:to>
      <xdr:col>7</xdr:col>
      <xdr:colOff>321879</xdr:colOff>
      <xdr:row>57</xdr:row>
      <xdr:rowOff>6569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9EB2BCDC-D7CA-440E-9D9E-370B626E2515}"/>
            </a:ext>
          </a:extLst>
        </xdr:cNvPr>
        <xdr:cNvCxnSpPr/>
      </xdr:nvCxnSpPr>
      <xdr:spPr>
        <a:xfrm>
          <a:off x="2117834" y="6940769"/>
          <a:ext cx="186164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610913</xdr:colOff>
      <xdr:row>57</xdr:row>
      <xdr:rowOff>19707</xdr:rowOff>
    </xdr:from>
    <xdr:to>
      <xdr:col>5</xdr:col>
      <xdr:colOff>610913</xdr:colOff>
      <xdr:row>59</xdr:row>
      <xdr:rowOff>111672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29F20694-2D25-4B8D-8C3E-68B79D78D997}"/>
            </a:ext>
          </a:extLst>
        </xdr:cNvPr>
        <xdr:cNvCxnSpPr/>
      </xdr:nvCxnSpPr>
      <xdr:spPr>
        <a:xfrm>
          <a:off x="3049313" y="6953907"/>
          <a:ext cx="0" cy="47296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212912</xdr:colOff>
      <xdr:row>22</xdr:row>
      <xdr:rowOff>176372</xdr:rowOff>
    </xdr:from>
    <xdr:to>
      <xdr:col>2</xdr:col>
      <xdr:colOff>594887</xdr:colOff>
      <xdr:row>27</xdr:row>
      <xdr:rowOff>145677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72A5234F-E910-47C2-A243-0DF571704101}"/>
            </a:ext>
          </a:extLst>
        </xdr:cNvPr>
        <xdr:cNvCxnSpPr/>
      </xdr:nvCxnSpPr>
      <xdr:spPr>
        <a:xfrm flipH="1">
          <a:off x="1423147" y="3941548"/>
          <a:ext cx="381975" cy="102265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598200</xdr:colOff>
      <xdr:row>23</xdr:row>
      <xdr:rowOff>11597</xdr:rowOff>
    </xdr:from>
    <xdr:to>
      <xdr:col>6</xdr:col>
      <xdr:colOff>22412</xdr:colOff>
      <xdr:row>27</xdr:row>
      <xdr:rowOff>156883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ACE6919-6C48-4A06-A896-7C0046A32AC1}"/>
            </a:ext>
          </a:extLst>
        </xdr:cNvPr>
        <xdr:cNvCxnSpPr/>
      </xdr:nvCxnSpPr>
      <xdr:spPr>
        <a:xfrm>
          <a:off x="1808435" y="3978479"/>
          <a:ext cx="1844683" cy="99693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571500</xdr:colOff>
      <xdr:row>30</xdr:row>
      <xdr:rowOff>123264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7FA082F9-F37E-4F2A-AC67-27A4DB6FB81F}"/>
            </a:ext>
          </a:extLst>
        </xdr:cNvPr>
        <xdr:cNvCxnSpPr/>
      </xdr:nvCxnSpPr>
      <xdr:spPr>
        <a:xfrm flipV="1">
          <a:off x="7866529" y="3888441"/>
          <a:ext cx="1176618" cy="199464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11206</xdr:colOff>
      <xdr:row>40</xdr:row>
      <xdr:rowOff>100853</xdr:rowOff>
    </xdr:from>
    <xdr:to>
      <xdr:col>14</xdr:col>
      <xdr:colOff>589429</xdr:colOff>
      <xdr:row>51</xdr:row>
      <xdr:rowOff>96370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35839C74-C57A-47F9-B6CD-507D80F26452}"/>
            </a:ext>
          </a:extLst>
        </xdr:cNvPr>
        <xdr:cNvCxnSpPr/>
      </xdr:nvCxnSpPr>
      <xdr:spPr>
        <a:xfrm flipH="1" flipV="1">
          <a:off x="7877735" y="7877735"/>
          <a:ext cx="1183341" cy="220307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-1</xdr:colOff>
      <xdr:row>64</xdr:row>
      <xdr:rowOff>22412</xdr:rowOff>
    </xdr:from>
    <xdr:to>
      <xdr:col>7</xdr:col>
      <xdr:colOff>-1</xdr:colOff>
      <xdr:row>68</xdr:row>
      <xdr:rowOff>179295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3082BC3-A653-4524-BFB2-B175F93AD3D5}"/>
            </a:ext>
          </a:extLst>
        </xdr:cNvPr>
        <xdr:cNvCxnSpPr/>
      </xdr:nvCxnSpPr>
      <xdr:spPr>
        <a:xfrm>
          <a:off x="4235823" y="12550588"/>
          <a:ext cx="0" cy="91888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308741</xdr:colOff>
      <xdr:row>117</xdr:row>
      <xdr:rowOff>28575</xdr:rowOff>
    </xdr:from>
    <xdr:to>
      <xdr:col>9</xdr:col>
      <xdr:colOff>308741</xdr:colOff>
      <xdr:row>120</xdr:row>
      <xdr:rowOff>6569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DA9D150-1BFB-4383-92A0-0E01751F6BB2}"/>
            </a:ext>
          </a:extLst>
        </xdr:cNvPr>
        <xdr:cNvCxnSpPr/>
      </xdr:nvCxnSpPr>
      <xdr:spPr>
        <a:xfrm>
          <a:off x="5795141" y="24660225"/>
          <a:ext cx="0" cy="5494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80799</xdr:colOff>
      <xdr:row>117</xdr:row>
      <xdr:rowOff>28575</xdr:rowOff>
    </xdr:from>
    <xdr:to>
      <xdr:col>12</xdr:col>
      <xdr:colOff>80799</xdr:colOff>
      <xdr:row>120</xdr:row>
      <xdr:rowOff>6569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5030954-B87C-419F-88C8-5FE8D7F9EB8B}"/>
            </a:ext>
          </a:extLst>
        </xdr:cNvPr>
        <xdr:cNvCxnSpPr/>
      </xdr:nvCxnSpPr>
      <xdr:spPr>
        <a:xfrm>
          <a:off x="7395999" y="24660225"/>
          <a:ext cx="0" cy="5494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295603</xdr:colOff>
      <xdr:row>120</xdr:row>
      <xdr:rowOff>0</xdr:rowOff>
    </xdr:from>
    <xdr:to>
      <xdr:col>12</xdr:col>
      <xdr:colOff>65171</xdr:colOff>
      <xdr:row>120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79F1D89-6589-4ABD-A1F6-B46FA45EAA51}"/>
            </a:ext>
          </a:extLst>
        </xdr:cNvPr>
        <xdr:cNvCxnSpPr/>
      </xdr:nvCxnSpPr>
      <xdr:spPr>
        <a:xfrm>
          <a:off x="5782003" y="25203150"/>
          <a:ext cx="1598368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308742</xdr:colOff>
      <xdr:row>120</xdr:row>
      <xdr:rowOff>26276</xdr:rowOff>
    </xdr:from>
    <xdr:to>
      <xdr:col>10</xdr:col>
      <xdr:colOff>308742</xdr:colOff>
      <xdr:row>121</xdr:row>
      <xdr:rowOff>59120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D11D0F49-189F-490D-AA29-2E29C378B95A}"/>
            </a:ext>
          </a:extLst>
        </xdr:cNvPr>
        <xdr:cNvCxnSpPr/>
      </xdr:nvCxnSpPr>
      <xdr:spPr>
        <a:xfrm>
          <a:off x="6404742" y="25229426"/>
          <a:ext cx="0" cy="23286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308741</xdr:colOff>
      <xdr:row>122</xdr:row>
      <xdr:rowOff>0</xdr:rowOff>
    </xdr:from>
    <xdr:to>
      <xdr:col>10</xdr:col>
      <xdr:colOff>308741</xdr:colOff>
      <xdr:row>124</xdr:row>
      <xdr:rowOff>33617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F6C7E85-F193-4FD2-A853-B9D85A6135FC}"/>
            </a:ext>
          </a:extLst>
        </xdr:cNvPr>
        <xdr:cNvCxnSpPr/>
      </xdr:nvCxnSpPr>
      <xdr:spPr>
        <a:xfrm>
          <a:off x="6404741" y="25593675"/>
          <a:ext cx="0" cy="43366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302172</xdr:colOff>
      <xdr:row>131</xdr:row>
      <xdr:rowOff>6569</xdr:rowOff>
    </xdr:from>
    <xdr:to>
      <xdr:col>7</xdr:col>
      <xdr:colOff>302172</xdr:colOff>
      <xdr:row>133</xdr:row>
      <xdr:rowOff>13138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997592F9-BE75-4BC0-9938-4383CFF11C8F}"/>
            </a:ext>
          </a:extLst>
        </xdr:cNvPr>
        <xdr:cNvCxnSpPr/>
      </xdr:nvCxnSpPr>
      <xdr:spPr>
        <a:xfrm>
          <a:off x="4569372" y="27371894"/>
          <a:ext cx="0" cy="3970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321879</xdr:colOff>
      <xdr:row>131</xdr:row>
      <xdr:rowOff>6569</xdr:rowOff>
    </xdr:from>
    <xdr:to>
      <xdr:col>10</xdr:col>
      <xdr:colOff>321879</xdr:colOff>
      <xdr:row>133</xdr:row>
      <xdr:rowOff>13138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AC28FEB4-7938-4518-A749-2C96D5B4D86F}"/>
            </a:ext>
          </a:extLst>
        </xdr:cNvPr>
        <xdr:cNvCxnSpPr/>
      </xdr:nvCxnSpPr>
      <xdr:spPr>
        <a:xfrm>
          <a:off x="6417879" y="27371894"/>
          <a:ext cx="0" cy="39709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289034</xdr:colOff>
      <xdr:row>133</xdr:row>
      <xdr:rowOff>6569</xdr:rowOff>
    </xdr:from>
    <xdr:to>
      <xdr:col>10</xdr:col>
      <xdr:colOff>321879</xdr:colOff>
      <xdr:row>133</xdr:row>
      <xdr:rowOff>6569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3417795F-9F48-4FFE-B116-C59A982AA617}"/>
            </a:ext>
          </a:extLst>
        </xdr:cNvPr>
        <xdr:cNvCxnSpPr/>
      </xdr:nvCxnSpPr>
      <xdr:spPr>
        <a:xfrm>
          <a:off x="4556234" y="27762419"/>
          <a:ext cx="186164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610913</xdr:colOff>
      <xdr:row>133</xdr:row>
      <xdr:rowOff>19707</xdr:rowOff>
    </xdr:from>
    <xdr:to>
      <xdr:col>8</xdr:col>
      <xdr:colOff>610913</xdr:colOff>
      <xdr:row>135</xdr:row>
      <xdr:rowOff>111672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7922105C-4D54-46F5-9781-16565B0DC00C}"/>
            </a:ext>
          </a:extLst>
        </xdr:cNvPr>
        <xdr:cNvCxnSpPr/>
      </xdr:nvCxnSpPr>
      <xdr:spPr>
        <a:xfrm>
          <a:off x="5487713" y="27775557"/>
          <a:ext cx="0" cy="4920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215348</xdr:colOff>
      <xdr:row>94</xdr:row>
      <xdr:rowOff>8283</xdr:rowOff>
    </xdr:from>
    <xdr:to>
      <xdr:col>4</xdr:col>
      <xdr:colOff>1</xdr:colOff>
      <xdr:row>99</xdr:row>
      <xdr:rowOff>11963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282E8B4-C797-4B37-AC0F-5497CFC7885F}"/>
            </a:ext>
          </a:extLst>
        </xdr:cNvPr>
        <xdr:cNvCxnSpPr/>
      </xdr:nvCxnSpPr>
      <xdr:spPr>
        <a:xfrm flipH="1">
          <a:off x="2044148" y="19982208"/>
          <a:ext cx="394253" cy="101333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3314</xdr:colOff>
      <xdr:row>94</xdr:row>
      <xdr:rowOff>11597</xdr:rowOff>
    </xdr:from>
    <xdr:to>
      <xdr:col>8</xdr:col>
      <xdr:colOff>223631</xdr:colOff>
      <xdr:row>98</xdr:row>
      <xdr:rowOff>165653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37B90D82-9612-40A4-B8C2-3076E9AE9D70}"/>
            </a:ext>
          </a:extLst>
        </xdr:cNvPr>
        <xdr:cNvCxnSpPr/>
      </xdr:nvCxnSpPr>
      <xdr:spPr>
        <a:xfrm>
          <a:off x="2441714" y="19985522"/>
          <a:ext cx="2658717" cy="96368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593911</xdr:colOff>
      <xdr:row>87</xdr:row>
      <xdr:rowOff>145676</xdr:rowOff>
    </xdr:from>
    <xdr:to>
      <xdr:col>17</xdr:col>
      <xdr:colOff>593912</xdr:colOff>
      <xdr:row>103</xdr:row>
      <xdr:rowOff>89647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10EE461C-FB03-402A-A733-192AF30713FA}"/>
            </a:ext>
          </a:extLst>
        </xdr:cNvPr>
        <xdr:cNvCxnSpPr/>
      </xdr:nvCxnSpPr>
      <xdr:spPr>
        <a:xfrm flipV="1">
          <a:off x="9737911" y="18709901"/>
          <a:ext cx="1219201" cy="322057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392206</xdr:colOff>
      <xdr:row>99</xdr:row>
      <xdr:rowOff>11206</xdr:rowOff>
    </xdr:from>
    <xdr:to>
      <xdr:col>28</xdr:col>
      <xdr:colOff>392206</xdr:colOff>
      <xdr:row>102</xdr:row>
      <xdr:rowOff>11206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63137F0-549A-46F3-90A6-70FE889F16A9}"/>
            </a:ext>
          </a:extLst>
        </xdr:cNvPr>
        <xdr:cNvCxnSpPr/>
      </xdr:nvCxnSpPr>
      <xdr:spPr>
        <a:xfrm>
          <a:off x="19070731" y="20994781"/>
          <a:ext cx="0" cy="5905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22412</xdr:colOff>
      <xdr:row>112</xdr:row>
      <xdr:rowOff>145676</xdr:rowOff>
    </xdr:from>
    <xdr:to>
      <xdr:col>17</xdr:col>
      <xdr:colOff>571500</xdr:colOff>
      <xdr:row>138</xdr:row>
      <xdr:rowOff>100853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10DDF287-78FB-481D-B72E-F5A6D98EDD6A}"/>
            </a:ext>
          </a:extLst>
        </xdr:cNvPr>
        <xdr:cNvCxnSpPr/>
      </xdr:nvCxnSpPr>
      <xdr:spPr>
        <a:xfrm flipH="1" flipV="1">
          <a:off x="9776012" y="23796251"/>
          <a:ext cx="1158688" cy="506057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11206</xdr:colOff>
      <xdr:row>142</xdr:row>
      <xdr:rowOff>-1</xdr:rowOff>
    </xdr:from>
    <xdr:to>
      <xdr:col>9</xdr:col>
      <xdr:colOff>22411</xdr:colOff>
      <xdr:row>148</xdr:row>
      <xdr:rowOff>33617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6B6B89C3-E5E2-45BC-A1B9-35B7A7D0939B}"/>
            </a:ext>
          </a:extLst>
        </xdr:cNvPr>
        <xdr:cNvCxnSpPr/>
      </xdr:nvCxnSpPr>
      <xdr:spPr>
        <a:xfrm flipH="1">
          <a:off x="5497606" y="29556074"/>
          <a:ext cx="11205" cy="123376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99</xdr:row>
      <xdr:rowOff>9525</xdr:rowOff>
    </xdr:from>
    <xdr:to>
      <xdr:col>15</xdr:col>
      <xdr:colOff>381000</xdr:colOff>
      <xdr:row>122</xdr:row>
      <xdr:rowOff>28575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5E469A7-C6FA-578F-1BB0-E7DCE8E87B33}"/>
            </a:ext>
          </a:extLst>
        </xdr:cNvPr>
        <xdr:cNvCxnSpPr/>
      </xdr:nvCxnSpPr>
      <xdr:spPr>
        <a:xfrm>
          <a:off x="9496425" y="19497675"/>
          <a:ext cx="0" cy="45148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5953</xdr:colOff>
      <xdr:row>120</xdr:row>
      <xdr:rowOff>0</xdr:rowOff>
    </xdr:from>
    <xdr:to>
      <xdr:col>8</xdr:col>
      <xdr:colOff>5953</xdr:colOff>
      <xdr:row>120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48D679A-E73C-2D8D-7CE4-DB3F63E4D67D}"/>
            </a:ext>
          </a:extLst>
        </xdr:cNvPr>
        <xdr:cNvCxnSpPr/>
      </xdr:nvCxnSpPr>
      <xdr:spPr>
        <a:xfrm>
          <a:off x="3500437" y="23717250"/>
          <a:ext cx="1214438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589359</xdr:colOff>
      <xdr:row>122</xdr:row>
      <xdr:rowOff>35718</xdr:rowOff>
    </xdr:from>
    <xdr:to>
      <xdr:col>15</xdr:col>
      <xdr:colOff>392907</xdr:colOff>
      <xdr:row>122</xdr:row>
      <xdr:rowOff>35718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F32CFA9-AEF5-0BF6-226C-50ED30C90F90}"/>
            </a:ext>
          </a:extLst>
        </xdr:cNvPr>
        <xdr:cNvCxnSpPr/>
      </xdr:nvCxnSpPr>
      <xdr:spPr>
        <a:xfrm>
          <a:off x="4691062" y="24145874"/>
          <a:ext cx="479822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601266</xdr:colOff>
      <xdr:row>120</xdr:row>
      <xdr:rowOff>5953</xdr:rowOff>
    </xdr:from>
    <xdr:to>
      <xdr:col>7</xdr:col>
      <xdr:colOff>601266</xdr:colOff>
      <xdr:row>122</xdr:row>
      <xdr:rowOff>35719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4DDEA754-687A-5F74-2AA4-11EA59E15BFE}"/>
            </a:ext>
          </a:extLst>
        </xdr:cNvPr>
        <xdr:cNvCxnSpPr/>
      </xdr:nvCxnSpPr>
      <xdr:spPr>
        <a:xfrm>
          <a:off x="4702969" y="23723203"/>
          <a:ext cx="0" cy="42267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3571</xdr:colOff>
      <xdr:row>122</xdr:row>
      <xdr:rowOff>39291</xdr:rowOff>
    </xdr:from>
    <xdr:to>
      <xdr:col>9</xdr:col>
      <xdr:colOff>3571</xdr:colOff>
      <xdr:row>127</xdr:row>
      <xdr:rowOff>172641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67252A6-23BF-4639-B3FA-86198CF136B8}"/>
            </a:ext>
          </a:extLst>
        </xdr:cNvPr>
        <xdr:cNvCxnSpPr/>
      </xdr:nvCxnSpPr>
      <xdr:spPr>
        <a:xfrm>
          <a:off x="5319712" y="24149447"/>
          <a:ext cx="0" cy="112752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93</xdr:row>
      <xdr:rowOff>95250</xdr:rowOff>
    </xdr:from>
    <xdr:to>
      <xdr:col>12</xdr:col>
      <xdr:colOff>590550</xdr:colOff>
      <xdr:row>96</xdr:row>
      <xdr:rowOff>114300</xdr:rowOff>
    </xdr:to>
    <xdr:cxnSp macro="">
      <xdr:nvCxnSpPr>
        <xdr:cNvPr id="3" name="Connector: Curved 2">
          <a:extLst>
            <a:ext uri="{FF2B5EF4-FFF2-40B4-BE49-F238E27FC236}">
              <a16:creationId xmlns:a16="http://schemas.microsoft.com/office/drawing/2014/main" id="{69F867E5-BFEE-2EEF-C68F-25E0E6F9A21B}"/>
            </a:ext>
          </a:extLst>
        </xdr:cNvPr>
        <xdr:cNvCxnSpPr/>
      </xdr:nvCxnSpPr>
      <xdr:spPr>
        <a:xfrm rot="10800000" flipV="1">
          <a:off x="6705600" y="18564225"/>
          <a:ext cx="1200150" cy="609600"/>
        </a:xfrm>
        <a:prstGeom prst="curved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om2-my.sharepoint.com/" TargetMode="External"/><Relationship Id="rId3" Type="http://schemas.openxmlformats.org/officeDocument/2006/relationships/hyperlink" Target="https://uom2-my.sharepoint.com/" TargetMode="External"/><Relationship Id="rId7" Type="http://schemas.openxmlformats.org/officeDocument/2006/relationships/hyperlink" Target="https://uom2-my.sharepoint.com/" TargetMode="External"/><Relationship Id="rId2" Type="http://schemas.openxmlformats.org/officeDocument/2006/relationships/hyperlink" Target="https://uom2-my.sharepoint.com/" TargetMode="External"/><Relationship Id="rId1" Type="http://schemas.openxmlformats.org/officeDocument/2006/relationships/hyperlink" Target="https://uom2-my.sharepoint.com/" TargetMode="External"/><Relationship Id="rId6" Type="http://schemas.openxmlformats.org/officeDocument/2006/relationships/hyperlink" Target="https://uom2-my.sharepoint.com/" TargetMode="External"/><Relationship Id="rId11" Type="http://schemas.openxmlformats.org/officeDocument/2006/relationships/hyperlink" Target="https://uom2-my.sharepoint.com/" TargetMode="External"/><Relationship Id="rId5" Type="http://schemas.openxmlformats.org/officeDocument/2006/relationships/hyperlink" Target="https://uom2-my.sharepoint.com/" TargetMode="External"/><Relationship Id="rId10" Type="http://schemas.openxmlformats.org/officeDocument/2006/relationships/hyperlink" Target="https://uom2-my.sharepoint.com/" TargetMode="External"/><Relationship Id="rId4" Type="http://schemas.openxmlformats.org/officeDocument/2006/relationships/hyperlink" Target="https://uom2-my.sharepoint.com/" TargetMode="External"/><Relationship Id="rId9" Type="http://schemas.openxmlformats.org/officeDocument/2006/relationships/hyperlink" Target="https://uom2-my.sharepoint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om2-my.sharepoint.com/" TargetMode="External"/><Relationship Id="rId1" Type="http://schemas.openxmlformats.org/officeDocument/2006/relationships/hyperlink" Target="https://uom2-my.sharepoint.com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om2-my.sharepoint.com/" TargetMode="External"/><Relationship Id="rId2" Type="http://schemas.openxmlformats.org/officeDocument/2006/relationships/hyperlink" Target="https://uom2-my.sharepoint.com/" TargetMode="External"/><Relationship Id="rId1" Type="http://schemas.openxmlformats.org/officeDocument/2006/relationships/hyperlink" Target="https://uom2-my.sharepoint.com/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uom2-my.sharepoint.com/" TargetMode="External"/><Relationship Id="rId3" Type="http://schemas.openxmlformats.org/officeDocument/2006/relationships/hyperlink" Target="https://uom2-my.sharepoint.com/" TargetMode="External"/><Relationship Id="rId7" Type="http://schemas.openxmlformats.org/officeDocument/2006/relationships/hyperlink" Target="https://uom2-my.sharepoint.com/" TargetMode="External"/><Relationship Id="rId2" Type="http://schemas.openxmlformats.org/officeDocument/2006/relationships/hyperlink" Target="https://uom2-my.sharepoint.com/" TargetMode="External"/><Relationship Id="rId1" Type="http://schemas.openxmlformats.org/officeDocument/2006/relationships/hyperlink" Target="https://uom2-my.sharepoint.com/" TargetMode="External"/><Relationship Id="rId6" Type="http://schemas.openxmlformats.org/officeDocument/2006/relationships/hyperlink" Target="https://uom2-my.sharepoint.com/" TargetMode="External"/><Relationship Id="rId5" Type="http://schemas.openxmlformats.org/officeDocument/2006/relationships/hyperlink" Target="https://uom2-my.sharepoint.com/" TargetMode="External"/><Relationship Id="rId4" Type="http://schemas.openxmlformats.org/officeDocument/2006/relationships/hyperlink" Target="https://uom2-my.sharepoint.com/" TargetMode="External"/><Relationship Id="rId9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CB4AC-BEBF-4BC1-9757-657479093832}">
  <sheetPr codeName="Sheet1"/>
  <dimension ref="A1:X15"/>
  <sheetViews>
    <sheetView zoomScale="175" zoomScaleNormal="175" workbookViewId="0">
      <selection activeCell="A15" sqref="A15:XFD1048576"/>
    </sheetView>
  </sheetViews>
  <sheetFormatPr defaultColWidth="0" defaultRowHeight="15" zeroHeight="1" x14ac:dyDescent="0.25"/>
  <cols>
    <col min="1" max="9" width="9.140625" customWidth="1"/>
    <col min="10" max="24" width="0" hidden="1" customWidth="1"/>
    <col min="25" max="16384" width="9.140625" hidden="1"/>
  </cols>
  <sheetData>
    <row r="1" spans="1:9" ht="15.75" thickTop="1" x14ac:dyDescent="0.25">
      <c r="A1" s="376" t="s">
        <v>404</v>
      </c>
      <c r="B1" s="377"/>
      <c r="C1" s="377"/>
      <c r="D1" s="377"/>
      <c r="E1" s="377"/>
      <c r="F1" s="377"/>
      <c r="G1" s="377"/>
      <c r="H1" s="377"/>
      <c r="I1" s="378"/>
    </row>
    <row r="2" spans="1:9" ht="15.75" thickBot="1" x14ac:dyDescent="0.3">
      <c r="A2" s="379"/>
      <c r="B2" s="380"/>
      <c r="C2" s="380"/>
      <c r="D2" s="380"/>
      <c r="E2" s="380"/>
      <c r="F2" s="380"/>
      <c r="G2" s="380"/>
      <c r="H2" s="380"/>
      <c r="I2" s="381"/>
    </row>
    <row r="3" spans="1:9" ht="15.75" thickTop="1" x14ac:dyDescent="0.25">
      <c r="A3" s="366" t="s">
        <v>403</v>
      </c>
      <c r="B3" s="367"/>
      <c r="C3" s="370" t="s">
        <v>410</v>
      </c>
      <c r="D3" s="371"/>
      <c r="E3" s="371"/>
      <c r="F3" s="371"/>
      <c r="G3" s="371"/>
      <c r="H3" s="371"/>
      <c r="I3" s="372"/>
    </row>
    <row r="4" spans="1:9" ht="15.75" thickBot="1" x14ac:dyDescent="0.3">
      <c r="A4" s="368"/>
      <c r="B4" s="369"/>
      <c r="C4" s="373"/>
      <c r="D4" s="374"/>
      <c r="E4" s="374"/>
      <c r="F4" s="374"/>
      <c r="G4" s="374"/>
      <c r="H4" s="374"/>
      <c r="I4" s="375"/>
    </row>
    <row r="5" spans="1:9" ht="15.75" thickTop="1" x14ac:dyDescent="0.25">
      <c r="A5" s="366" t="s">
        <v>405</v>
      </c>
      <c r="B5" s="367"/>
      <c r="C5" s="370">
        <v>2514204</v>
      </c>
      <c r="D5" s="371"/>
      <c r="E5" s="371"/>
      <c r="F5" s="371"/>
      <c r="G5" s="371"/>
      <c r="H5" s="371"/>
      <c r="I5" s="372"/>
    </row>
    <row r="6" spans="1:9" ht="15.75" thickBot="1" x14ac:dyDescent="0.3">
      <c r="A6" s="368"/>
      <c r="B6" s="369"/>
      <c r="C6" s="373"/>
      <c r="D6" s="374"/>
      <c r="E6" s="374"/>
      <c r="F6" s="374"/>
      <c r="G6" s="374"/>
      <c r="H6" s="374"/>
      <c r="I6" s="375"/>
    </row>
    <row r="7" spans="1:9" ht="15.75" thickTop="1" x14ac:dyDescent="0.25">
      <c r="A7" s="366" t="s">
        <v>406</v>
      </c>
      <c r="B7" s="367"/>
      <c r="C7" s="370" t="s">
        <v>407</v>
      </c>
      <c r="D7" s="371"/>
      <c r="E7" s="371"/>
      <c r="F7" s="371"/>
      <c r="G7" s="371"/>
      <c r="H7" s="371"/>
      <c r="I7" s="372"/>
    </row>
    <row r="8" spans="1:9" ht="15.75" thickBot="1" x14ac:dyDescent="0.3">
      <c r="A8" s="368"/>
      <c r="B8" s="369"/>
      <c r="C8" s="373"/>
      <c r="D8" s="374"/>
      <c r="E8" s="374"/>
      <c r="F8" s="374"/>
      <c r="G8" s="374"/>
      <c r="H8" s="374"/>
      <c r="I8" s="375"/>
    </row>
    <row r="9" spans="1:9" ht="15.75" thickTop="1" x14ac:dyDescent="0.25">
      <c r="A9" s="366" t="s">
        <v>408</v>
      </c>
      <c r="B9" s="367"/>
      <c r="C9" s="370" t="s">
        <v>409</v>
      </c>
      <c r="D9" s="371"/>
      <c r="E9" s="371"/>
      <c r="F9" s="371"/>
      <c r="G9" s="371"/>
      <c r="H9" s="371"/>
      <c r="I9" s="372"/>
    </row>
    <row r="10" spans="1:9" ht="15.75" thickBot="1" x14ac:dyDescent="0.3">
      <c r="A10" s="368"/>
      <c r="B10" s="369"/>
      <c r="C10" s="373"/>
      <c r="D10" s="374"/>
      <c r="E10" s="374"/>
      <c r="F10" s="374"/>
      <c r="G10" s="374"/>
      <c r="H10" s="374"/>
      <c r="I10" s="375"/>
    </row>
    <row r="11" spans="1:9" ht="15.75" thickTop="1" x14ac:dyDescent="0.25">
      <c r="A11" s="366" t="s">
        <v>413</v>
      </c>
      <c r="B11" s="367"/>
      <c r="C11" s="370" t="s">
        <v>414</v>
      </c>
      <c r="D11" s="371"/>
      <c r="E11" s="371"/>
      <c r="F11" s="371"/>
      <c r="G11" s="371"/>
      <c r="H11" s="371"/>
      <c r="I11" s="372"/>
    </row>
    <row r="12" spans="1:9" ht="15.75" thickBot="1" x14ac:dyDescent="0.3">
      <c r="A12" s="368"/>
      <c r="B12" s="369"/>
      <c r="C12" s="373"/>
      <c r="D12" s="374"/>
      <c r="E12" s="374"/>
      <c r="F12" s="374"/>
      <c r="G12" s="374"/>
      <c r="H12" s="374"/>
      <c r="I12" s="375"/>
    </row>
    <row r="13" spans="1:9" ht="15.75" thickTop="1" x14ac:dyDescent="0.25">
      <c r="A13" s="366" t="s">
        <v>412</v>
      </c>
      <c r="B13" s="367"/>
      <c r="C13" s="370" t="s">
        <v>411</v>
      </c>
      <c r="D13" s="371"/>
      <c r="E13" s="371"/>
      <c r="F13" s="371"/>
      <c r="G13" s="371"/>
      <c r="H13" s="371"/>
      <c r="I13" s="372"/>
    </row>
    <row r="14" spans="1:9" ht="15.75" thickBot="1" x14ac:dyDescent="0.3">
      <c r="A14" s="368"/>
      <c r="B14" s="369"/>
      <c r="C14" s="373"/>
      <c r="D14" s="374"/>
      <c r="E14" s="374"/>
      <c r="F14" s="374"/>
      <c r="G14" s="374"/>
      <c r="H14" s="374"/>
      <c r="I14" s="375"/>
    </row>
    <row r="15" spans="1:9" ht="15.75" hidden="1" thickTop="1" x14ac:dyDescent="0.25"/>
  </sheetData>
  <mergeCells count="13">
    <mergeCell ref="A7:B8"/>
    <mergeCell ref="C7:I8"/>
    <mergeCell ref="A1:I2"/>
    <mergeCell ref="A3:B4"/>
    <mergeCell ref="C3:I4"/>
    <mergeCell ref="A5:B6"/>
    <mergeCell ref="C5:I6"/>
    <mergeCell ref="A9:B10"/>
    <mergeCell ref="C9:I10"/>
    <mergeCell ref="A11:B12"/>
    <mergeCell ref="C11:I12"/>
    <mergeCell ref="A13:B14"/>
    <mergeCell ref="C13:I1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AD44B-02AE-4D1C-B1B4-A0A0496EA87F}">
  <sheetPr codeName="Sheet2"/>
  <dimension ref="A1:AN71"/>
  <sheetViews>
    <sheetView tabSelected="1" zoomScale="81" zoomScaleNormal="115" workbookViewId="0">
      <selection activeCell="T33" sqref="T33"/>
    </sheetView>
  </sheetViews>
  <sheetFormatPr defaultRowHeight="15" x14ac:dyDescent="0.25"/>
  <cols>
    <col min="1" max="1" width="18" customWidth="1"/>
    <col min="6" max="6" width="10.7109375" customWidth="1"/>
    <col min="8" max="8" width="9.42578125" customWidth="1"/>
  </cols>
  <sheetData>
    <row r="1" spans="1:25" ht="26.25" customHeight="1" x14ac:dyDescent="0.25">
      <c r="A1" s="352" t="s">
        <v>254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4"/>
    </row>
    <row r="2" spans="1:25" ht="15.75" thickBot="1" x14ac:dyDescent="0.3">
      <c r="A2" s="355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7"/>
    </row>
    <row r="3" spans="1:25" ht="20.25" thickBot="1" x14ac:dyDescent="0.35">
      <c r="A3" s="358" t="s">
        <v>6</v>
      </c>
      <c r="B3" s="359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9"/>
    </row>
    <row r="4" spans="1:25" ht="16.5" thickTop="1" thickBot="1" x14ac:dyDescent="0.3">
      <c r="A4" s="50"/>
      <c r="S4" s="51"/>
    </row>
    <row r="5" spans="1:25" x14ac:dyDescent="0.25">
      <c r="A5" s="144" t="s">
        <v>0</v>
      </c>
      <c r="B5" s="59">
        <v>2</v>
      </c>
      <c r="C5" s="60">
        <v>3</v>
      </c>
      <c r="F5" s="145" t="s">
        <v>245</v>
      </c>
      <c r="G5" s="363" t="s">
        <v>241</v>
      </c>
      <c r="H5" s="347"/>
      <c r="I5" s="347"/>
      <c r="S5" s="51"/>
    </row>
    <row r="6" spans="1:25" ht="15.75" thickBot="1" x14ac:dyDescent="0.3">
      <c r="A6" s="50"/>
      <c r="B6" s="61">
        <v>4</v>
      </c>
      <c r="C6" s="62">
        <v>5</v>
      </c>
      <c r="S6" s="51"/>
    </row>
    <row r="7" spans="1:25" ht="15.75" thickBot="1" x14ac:dyDescent="0.3">
      <c r="A7" s="50"/>
      <c r="S7" s="51"/>
    </row>
    <row r="8" spans="1:25" ht="15.75" thickBot="1" x14ac:dyDescent="0.3">
      <c r="A8" s="50"/>
      <c r="B8" s="67" t="s">
        <v>1</v>
      </c>
      <c r="C8" s="68">
        <f>(C6*B5)-(C5*B6)</f>
        <v>-2</v>
      </c>
      <c r="S8" s="51"/>
    </row>
    <row r="9" spans="1:25" x14ac:dyDescent="0.25">
      <c r="A9" s="50"/>
      <c r="S9" s="51"/>
    </row>
    <row r="10" spans="1:25" ht="15.75" thickBot="1" x14ac:dyDescent="0.3">
      <c r="A10" s="52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40"/>
    </row>
    <row r="11" spans="1:25" ht="20.25" thickBot="1" x14ac:dyDescent="0.35">
      <c r="A11" s="358" t="s">
        <v>5</v>
      </c>
      <c r="B11" s="359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25" ht="16.5" thickTop="1" thickBot="1" x14ac:dyDescent="0.3">
      <c r="A12" s="50"/>
      <c r="S12" s="51"/>
    </row>
    <row r="13" spans="1:25" ht="15.75" thickBot="1" x14ac:dyDescent="0.3">
      <c r="A13" s="144" t="s">
        <v>2</v>
      </c>
      <c r="B13" s="59">
        <v>2</v>
      </c>
      <c r="C13" s="63">
        <v>3</v>
      </c>
      <c r="D13" s="60">
        <v>5</v>
      </c>
      <c r="S13" s="51"/>
    </row>
    <row r="14" spans="1:25" ht="15.75" thickBot="1" x14ac:dyDescent="0.3">
      <c r="A14" s="50"/>
      <c r="B14" s="64">
        <v>5</v>
      </c>
      <c r="C14" s="58">
        <v>2</v>
      </c>
      <c r="D14" s="65">
        <v>1</v>
      </c>
      <c r="F14" s="56" t="s">
        <v>246</v>
      </c>
      <c r="G14" s="349" t="s">
        <v>242</v>
      </c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1"/>
      <c r="S14" s="51"/>
    </row>
    <row r="15" spans="1:25" ht="15.75" thickBot="1" x14ac:dyDescent="0.3">
      <c r="A15" s="50"/>
      <c r="B15" s="61">
        <v>1</v>
      </c>
      <c r="C15" s="66">
        <v>1</v>
      </c>
      <c r="D15" s="62">
        <v>4</v>
      </c>
      <c r="G15" s="360" t="s">
        <v>243</v>
      </c>
      <c r="H15" s="361"/>
      <c r="I15" s="361"/>
      <c r="J15" s="361"/>
      <c r="K15" s="362"/>
      <c r="L15" s="55" t="s">
        <v>43</v>
      </c>
      <c r="M15" s="364" t="s">
        <v>244</v>
      </c>
      <c r="N15" s="361"/>
      <c r="O15" s="361"/>
      <c r="P15" s="361"/>
      <c r="Q15" s="361"/>
      <c r="R15" s="365"/>
      <c r="S15" s="51"/>
    </row>
    <row r="16" spans="1:25" ht="15.75" x14ac:dyDescent="0.25">
      <c r="A16" s="50"/>
      <c r="S16" s="51"/>
      <c r="Y16" s="257"/>
    </row>
    <row r="17" spans="1:40" ht="15.75" thickBot="1" x14ac:dyDescent="0.3">
      <c r="A17" s="50"/>
      <c r="S17" s="51"/>
    </row>
    <row r="18" spans="1:40" ht="15.75" thickBot="1" x14ac:dyDescent="0.3">
      <c r="A18" s="50"/>
      <c r="B18" s="69" t="s">
        <v>3</v>
      </c>
      <c r="C18" s="70">
        <f>((B13*C14*D15)+(B14*C15*D13)+(B15*C13*D14))-((D13*C14*B15)+(D14*C15*B13)+(D15*C13*B14))</f>
        <v>-28</v>
      </c>
      <c r="S18" s="51"/>
    </row>
    <row r="19" spans="1:40" x14ac:dyDescent="0.25">
      <c r="A19" s="50"/>
      <c r="S19" s="51"/>
    </row>
    <row r="20" spans="1:40" ht="15.75" thickBot="1" x14ac:dyDescent="0.3">
      <c r="A20" s="52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40"/>
    </row>
    <row r="21" spans="1:40" ht="20.25" thickBot="1" x14ac:dyDescent="0.35">
      <c r="A21" s="358" t="s">
        <v>4</v>
      </c>
      <c r="B21" s="359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  <c r="T21" s="337" t="s">
        <v>376</v>
      </c>
      <c r="U21" s="338"/>
      <c r="V21" s="338"/>
      <c r="W21" s="338"/>
      <c r="X21" s="338"/>
      <c r="Y21" s="339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9"/>
    </row>
    <row r="22" spans="1:40" ht="16.5" thickTop="1" thickBot="1" x14ac:dyDescent="0.3">
      <c r="A22" s="50"/>
      <c r="S22" s="51"/>
      <c r="T22" s="50"/>
      <c r="AN22" s="51"/>
    </row>
    <row r="23" spans="1:40" ht="15.75" thickBot="1" x14ac:dyDescent="0.3">
      <c r="A23" s="144" t="s">
        <v>7</v>
      </c>
      <c r="B23" s="59">
        <v>2</v>
      </c>
      <c r="C23" s="63">
        <v>9</v>
      </c>
      <c r="D23" s="63">
        <v>4</v>
      </c>
      <c r="E23" s="60">
        <v>1</v>
      </c>
      <c r="G23" s="331" t="s">
        <v>384</v>
      </c>
      <c r="H23" s="336">
        <v>-14</v>
      </c>
      <c r="I23" s="172"/>
      <c r="J23" s="331" t="s">
        <v>17</v>
      </c>
      <c r="K23" s="336">
        <v>-18</v>
      </c>
      <c r="M23" s="331" t="s">
        <v>18</v>
      </c>
      <c r="N23" s="336">
        <v>-22</v>
      </c>
      <c r="O23" s="172"/>
      <c r="P23" s="331" t="s">
        <v>377</v>
      </c>
      <c r="Q23" s="336">
        <v>-28</v>
      </c>
      <c r="S23" s="51"/>
      <c r="T23" s="50"/>
      <c r="U23" s="36" t="s">
        <v>190</v>
      </c>
      <c r="V23" s="85">
        <v>6</v>
      </c>
      <c r="W23" s="85">
        <v>1</v>
      </c>
      <c r="X23" s="85">
        <v>3</v>
      </c>
      <c r="Y23" s="85">
        <v>2</v>
      </c>
      <c r="Z23" s="2"/>
      <c r="AA23" s="340" t="s">
        <v>402</v>
      </c>
      <c r="AB23" s="342">
        <f>(V32*V23)+(AA32*W23)+(AF32*X23)+(AK32*Y23)</f>
        <v>0</v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51"/>
    </row>
    <row r="24" spans="1:40" ht="15.75" thickBot="1" x14ac:dyDescent="0.3">
      <c r="A24" s="50"/>
      <c r="B24" s="64">
        <v>2</v>
      </c>
      <c r="C24" s="58">
        <v>3</v>
      </c>
      <c r="D24" s="58">
        <v>5</v>
      </c>
      <c r="E24" s="65">
        <v>3</v>
      </c>
      <c r="G24" s="334" t="s">
        <v>385</v>
      </c>
      <c r="H24" s="335">
        <f>H23</f>
        <v>-14</v>
      </c>
      <c r="I24" s="172"/>
      <c r="J24" s="334" t="s">
        <v>386</v>
      </c>
      <c r="K24" s="335">
        <f>-K23</f>
        <v>18</v>
      </c>
      <c r="M24" s="334" t="s">
        <v>387</v>
      </c>
      <c r="N24" s="335">
        <f>N23</f>
        <v>-22</v>
      </c>
      <c r="O24" s="172"/>
      <c r="P24" s="334" t="s">
        <v>388</v>
      </c>
      <c r="Q24" s="335">
        <f>-Q23</f>
        <v>28</v>
      </c>
      <c r="S24" s="51"/>
      <c r="T24" s="50"/>
      <c r="U24" s="2"/>
      <c r="V24" s="85">
        <f t="shared" ref="V24:X25" si="0">B24</f>
        <v>2</v>
      </c>
      <c r="W24" s="85">
        <v>0</v>
      </c>
      <c r="X24" s="85">
        <v>1</v>
      </c>
      <c r="Y24" s="85">
        <v>4</v>
      </c>
      <c r="Z24" s="2"/>
      <c r="AA24" s="341"/>
      <c r="AB24" s="343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51"/>
    </row>
    <row r="25" spans="1:40" x14ac:dyDescent="0.25">
      <c r="A25" s="50"/>
      <c r="B25" s="64">
        <v>5</v>
      </c>
      <c r="C25" s="58">
        <v>2</v>
      </c>
      <c r="D25" s="58">
        <v>1</v>
      </c>
      <c r="E25" s="65">
        <v>2</v>
      </c>
      <c r="S25" s="51"/>
      <c r="T25" s="50"/>
      <c r="U25" s="2"/>
      <c r="V25" s="85">
        <v>3</v>
      </c>
      <c r="W25" s="85">
        <v>6</v>
      </c>
      <c r="X25" s="85">
        <f t="shared" si="0"/>
        <v>1</v>
      </c>
      <c r="Y25" s="85">
        <v>2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51"/>
    </row>
    <row r="26" spans="1:40" ht="15.75" thickBot="1" x14ac:dyDescent="0.3">
      <c r="A26" s="50"/>
      <c r="B26" s="61">
        <v>1</v>
      </c>
      <c r="C26" s="66">
        <v>1</v>
      </c>
      <c r="D26" s="66">
        <v>4</v>
      </c>
      <c r="E26" s="62">
        <v>3</v>
      </c>
      <c r="S26" s="51"/>
      <c r="T26" s="50"/>
      <c r="U26" s="2"/>
      <c r="V26" s="85">
        <v>4</v>
      </c>
      <c r="W26" s="85">
        <v>0</v>
      </c>
      <c r="X26" s="85">
        <v>2</v>
      </c>
      <c r="Y26" s="85">
        <v>8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51"/>
    </row>
    <row r="27" spans="1:40" ht="15.75" thickBot="1" x14ac:dyDescent="0.3">
      <c r="A27" s="50"/>
      <c r="K27" t="s">
        <v>416</v>
      </c>
      <c r="S27" s="51"/>
      <c r="T27" s="50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51"/>
    </row>
    <row r="28" spans="1:40" ht="15.75" thickBot="1" x14ac:dyDescent="0.3">
      <c r="A28" s="50"/>
      <c r="S28" s="51"/>
      <c r="T28" s="50"/>
      <c r="U28" s="333" t="s">
        <v>384</v>
      </c>
      <c r="V28" s="172">
        <f t="shared" ref="V28:X30" si="1">W24</f>
        <v>0</v>
      </c>
      <c r="W28" s="172">
        <f t="shared" si="1"/>
        <v>1</v>
      </c>
      <c r="X28" s="329">
        <f t="shared" si="1"/>
        <v>4</v>
      </c>
      <c r="Y28" s="172"/>
      <c r="Z28" s="333" t="s">
        <v>17</v>
      </c>
      <c r="AA28" s="172">
        <f>$V$24</f>
        <v>2</v>
      </c>
      <c r="AB28" s="172">
        <f>$X$24</f>
        <v>1</v>
      </c>
      <c r="AC28" s="329">
        <f>$Y$24</f>
        <v>4</v>
      </c>
      <c r="AD28" s="172"/>
      <c r="AE28" s="333" t="s">
        <v>18</v>
      </c>
      <c r="AF28" s="172">
        <f>$V$24</f>
        <v>2</v>
      </c>
      <c r="AG28" s="172">
        <f>$W$24</f>
        <v>0</v>
      </c>
      <c r="AH28" s="329">
        <f>$Y$24</f>
        <v>4</v>
      </c>
      <c r="AI28" s="172"/>
      <c r="AJ28" s="333" t="s">
        <v>377</v>
      </c>
      <c r="AK28" s="172">
        <f>$V$24</f>
        <v>2</v>
      </c>
      <c r="AL28" s="172">
        <f>$W$24</f>
        <v>0</v>
      </c>
      <c r="AM28" s="329">
        <f>$X$24</f>
        <v>1</v>
      </c>
      <c r="AN28" s="51"/>
    </row>
    <row r="29" spans="1:40" ht="15.75" thickBot="1" x14ac:dyDescent="0.3">
      <c r="A29" s="50"/>
      <c r="S29" s="51"/>
      <c r="T29" s="50"/>
      <c r="U29" s="172"/>
      <c r="V29" s="328">
        <f t="shared" si="1"/>
        <v>6</v>
      </c>
      <c r="W29" s="172">
        <f t="shared" si="1"/>
        <v>1</v>
      </c>
      <c r="X29" s="329">
        <f t="shared" si="1"/>
        <v>2</v>
      </c>
      <c r="Y29" s="172"/>
      <c r="Z29" s="329"/>
      <c r="AA29" s="172">
        <f>$V$25</f>
        <v>3</v>
      </c>
      <c r="AB29" s="172">
        <f>$X$25</f>
        <v>1</v>
      </c>
      <c r="AC29" s="329">
        <f>$Y$25</f>
        <v>2</v>
      </c>
      <c r="AD29" s="172"/>
      <c r="AE29" s="329"/>
      <c r="AF29" s="172">
        <f>$V$25</f>
        <v>3</v>
      </c>
      <c r="AG29" s="172">
        <f>$W$25</f>
        <v>6</v>
      </c>
      <c r="AH29" s="329">
        <f>$Y$25</f>
        <v>2</v>
      </c>
      <c r="AI29" s="172"/>
      <c r="AJ29" s="329"/>
      <c r="AK29" s="172">
        <f>$V$25</f>
        <v>3</v>
      </c>
      <c r="AL29" s="172">
        <f>$W$25</f>
        <v>6</v>
      </c>
      <c r="AM29" s="329">
        <f>$X$25</f>
        <v>1</v>
      </c>
      <c r="AN29" s="51"/>
    </row>
    <row r="30" spans="1:40" ht="15.75" thickBot="1" x14ac:dyDescent="0.3">
      <c r="A30" s="50"/>
      <c r="B30" s="344" t="s">
        <v>415</v>
      </c>
      <c r="C30" s="342">
        <f>(H24*B23)+(K24*C23)+(N24*D23)+(Q24*E23)</f>
        <v>74</v>
      </c>
      <c r="F30" s="57" t="s">
        <v>245</v>
      </c>
      <c r="G30" s="346" t="s">
        <v>247</v>
      </c>
      <c r="H30" s="347"/>
      <c r="I30" s="347"/>
      <c r="J30" s="347"/>
      <c r="K30" s="347"/>
      <c r="L30" s="347"/>
      <c r="M30" s="347"/>
      <c r="S30" s="51"/>
      <c r="T30" s="50"/>
      <c r="U30" s="172"/>
      <c r="V30" s="328">
        <f t="shared" si="1"/>
        <v>0</v>
      </c>
      <c r="W30" s="172">
        <f t="shared" si="1"/>
        <v>2</v>
      </c>
      <c r="X30" s="329">
        <f t="shared" si="1"/>
        <v>8</v>
      </c>
      <c r="Y30" s="172"/>
      <c r="Z30" s="329"/>
      <c r="AA30" s="172">
        <f>$V$26</f>
        <v>4</v>
      </c>
      <c r="AB30" s="172">
        <f>$X$26</f>
        <v>2</v>
      </c>
      <c r="AC30" s="329">
        <f>$Y$26</f>
        <v>8</v>
      </c>
      <c r="AD30" s="172"/>
      <c r="AE30" s="329"/>
      <c r="AF30" s="172">
        <f>$V$26</f>
        <v>4</v>
      </c>
      <c r="AG30" s="172">
        <f>$W$26</f>
        <v>0</v>
      </c>
      <c r="AH30" s="329">
        <f>$Y$26</f>
        <v>8</v>
      </c>
      <c r="AI30" s="172"/>
      <c r="AJ30" s="329"/>
      <c r="AK30" s="172">
        <f>$V$26</f>
        <v>4</v>
      </c>
      <c r="AL30" s="172">
        <f>$W$26</f>
        <v>0</v>
      </c>
      <c r="AM30" s="329">
        <f>$X$26</f>
        <v>2</v>
      </c>
      <c r="AN30" s="51"/>
    </row>
    <row r="31" spans="1:40" ht="15.75" thickBot="1" x14ac:dyDescent="0.3">
      <c r="A31" s="50"/>
      <c r="B31" s="345"/>
      <c r="C31" s="343"/>
      <c r="G31" s="346" t="s">
        <v>248</v>
      </c>
      <c r="H31" s="347"/>
      <c r="I31" s="347"/>
      <c r="J31" s="347"/>
      <c r="K31" s="347"/>
      <c r="L31" s="347"/>
      <c r="M31" s="347"/>
      <c r="S31" s="51"/>
      <c r="T31" s="50"/>
      <c r="U31" s="331" t="s">
        <v>384</v>
      </c>
      <c r="V31" s="336">
        <f>((V28*W29*X30)+(V29*W30*X28)+(V30*W28*X29))-((X28*W29*V30)+(X29*W30*V28)+(X30*W28*V29))</f>
        <v>0</v>
      </c>
      <c r="W31" s="172"/>
      <c r="X31" s="172"/>
      <c r="Y31" s="172"/>
      <c r="Z31" s="331" t="s">
        <v>17</v>
      </c>
      <c r="AA31" s="336">
        <f>((AA28*AB29*AC30)+(AA29*AB30*AC28)+(AA30*AB28*AC29))-((AC28*AB29*AA30)+(AC29*AB30*AA28)+(AC30*AB28*AA29))</f>
        <v>0</v>
      </c>
      <c r="AB31" s="172"/>
      <c r="AC31" s="172"/>
      <c r="AD31" s="172"/>
      <c r="AE31" s="331" t="s">
        <v>18</v>
      </c>
      <c r="AF31" s="336">
        <f>((AF28*AG29*AH30)+(AF29*AG30*AH28)+(AF30*AG28*AH29))-((AH28*AG29*AF30)+(AH29*AG30*AF28)+(AH30*AG28*AF29))</f>
        <v>0</v>
      </c>
      <c r="AG31" s="172"/>
      <c r="AH31" s="172"/>
      <c r="AI31" s="172"/>
      <c r="AJ31" s="331" t="s">
        <v>377</v>
      </c>
      <c r="AK31" s="336">
        <f>((AK28*AL29*AM30)+(AK29*AL30*AM28)+(AK30*AL28*AM29))-((AM28*AL29*AK30)+(AM29*AL30*AK28)+(AM30*AL28*AK29))</f>
        <v>0</v>
      </c>
      <c r="AL31" s="172"/>
      <c r="AM31" s="172"/>
      <c r="AN31" s="51"/>
    </row>
    <row r="32" spans="1:40" ht="15.75" thickBot="1" x14ac:dyDescent="0.3">
      <c r="A32" s="50"/>
      <c r="S32" s="51"/>
      <c r="T32" s="50"/>
      <c r="U32" s="334" t="s">
        <v>385</v>
      </c>
      <c r="V32" s="335">
        <f>V31</f>
        <v>0</v>
      </c>
      <c r="W32" s="172"/>
      <c r="X32" s="172"/>
      <c r="Y32" s="172"/>
      <c r="Z32" s="334" t="s">
        <v>386</v>
      </c>
      <c r="AA32" s="335">
        <f>-AA31</f>
        <v>0</v>
      </c>
      <c r="AB32" s="172"/>
      <c r="AC32" s="172"/>
      <c r="AD32" s="172"/>
      <c r="AE32" s="334" t="s">
        <v>387</v>
      </c>
      <c r="AF32" s="335">
        <f>AF31</f>
        <v>0</v>
      </c>
      <c r="AG32" s="172"/>
      <c r="AH32" s="172"/>
      <c r="AI32" s="172"/>
      <c r="AJ32" s="334" t="s">
        <v>388</v>
      </c>
      <c r="AK32" s="335">
        <f>-AK31</f>
        <v>0</v>
      </c>
      <c r="AL32" s="172"/>
      <c r="AM32" s="172"/>
      <c r="AN32" s="51"/>
    </row>
    <row r="33" spans="1:40" ht="15.75" thickBot="1" x14ac:dyDescent="0.3">
      <c r="A33" s="52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40"/>
      <c r="T33" s="52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275"/>
      <c r="AM33" s="275"/>
      <c r="AN33" s="40"/>
    </row>
    <row r="34" spans="1:40" x14ac:dyDescent="0.25"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</row>
    <row r="36" spans="1:40" x14ac:dyDescent="0.25">
      <c r="H36" s="172"/>
      <c r="I36" s="172"/>
      <c r="J36" s="172"/>
    </row>
    <row r="37" spans="1:40" x14ac:dyDescent="0.25">
      <c r="H37" s="172"/>
      <c r="I37" s="172"/>
      <c r="J37" s="172"/>
    </row>
    <row r="59" spans="21:22" x14ac:dyDescent="0.25">
      <c r="U59" s="348"/>
      <c r="V59" s="348"/>
    </row>
    <row r="64" spans="21:22" x14ac:dyDescent="0.25">
      <c r="U64" s="348"/>
      <c r="V64" s="348"/>
    </row>
    <row r="69" spans="21:22" x14ac:dyDescent="0.25">
      <c r="U69" s="348"/>
      <c r="V69" s="348"/>
    </row>
    <row r="71" spans="21:22" x14ac:dyDescent="0.25">
      <c r="U71" s="348"/>
      <c r="V71" s="348"/>
    </row>
  </sheetData>
  <mergeCells count="19">
    <mergeCell ref="G14:R14"/>
    <mergeCell ref="A1:S2"/>
    <mergeCell ref="A3:B3"/>
    <mergeCell ref="A11:B11"/>
    <mergeCell ref="A21:B21"/>
    <mergeCell ref="G15:K15"/>
    <mergeCell ref="G5:I5"/>
    <mergeCell ref="M15:R15"/>
    <mergeCell ref="U59:V59"/>
    <mergeCell ref="U64:V64"/>
    <mergeCell ref="U69:V69"/>
    <mergeCell ref="U71:V71"/>
    <mergeCell ref="G31:M31"/>
    <mergeCell ref="T21:Y21"/>
    <mergeCell ref="AA23:AA24"/>
    <mergeCell ref="AB23:AB24"/>
    <mergeCell ref="B30:B31"/>
    <mergeCell ref="C30:C31"/>
    <mergeCell ref="G30:M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t4x4">
                <anchor moveWithCells="1" siz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10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941F3-AFDF-4C05-885D-FD5CA80EAD5D}">
  <sheetPr codeName="Sheet3"/>
  <dimension ref="A1:Y89"/>
  <sheetViews>
    <sheetView zoomScaleNormal="100" workbookViewId="0">
      <selection activeCell="O4" sqref="O4"/>
    </sheetView>
  </sheetViews>
  <sheetFormatPr defaultColWidth="0" defaultRowHeight="15" zeroHeight="1" x14ac:dyDescent="0.25"/>
  <cols>
    <col min="1" max="1" width="20.5703125" customWidth="1"/>
    <col min="2" max="5" width="9.140625" customWidth="1"/>
    <col min="6" max="6" width="17.7109375" customWidth="1"/>
    <col min="7" max="14" width="9.140625" customWidth="1"/>
    <col min="15" max="15" width="18.28515625" customWidth="1"/>
    <col min="16" max="25" width="9.140625" customWidth="1"/>
    <col min="26" max="16384" width="9.140625" hidden="1"/>
  </cols>
  <sheetData>
    <row r="1" spans="1:24" ht="26.25" thickBot="1" x14ac:dyDescent="0.45">
      <c r="A1" s="382" t="s">
        <v>249</v>
      </c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4"/>
    </row>
    <row r="2" spans="1:24" x14ac:dyDescent="0.25">
      <c r="A2" s="47"/>
      <c r="B2" s="48"/>
      <c r="C2" s="48"/>
      <c r="D2" s="49"/>
      <c r="E2" s="47"/>
      <c r="F2" s="48"/>
      <c r="G2" s="48"/>
      <c r="H2" s="48"/>
      <c r="I2" s="48"/>
      <c r="J2" s="48"/>
      <c r="K2" s="48"/>
      <c r="L2" s="48"/>
      <c r="M2" s="49"/>
      <c r="N2" s="47"/>
      <c r="O2" s="48"/>
      <c r="P2" s="48"/>
      <c r="Q2" s="48"/>
      <c r="R2" s="48"/>
      <c r="S2" s="48"/>
      <c r="T2" s="48"/>
      <c r="U2" s="48"/>
      <c r="V2" s="48"/>
      <c r="W2" s="48"/>
      <c r="X2" s="49"/>
    </row>
    <row r="3" spans="1:24" ht="19.5" x14ac:dyDescent="0.3">
      <c r="A3" s="146" t="s">
        <v>250</v>
      </c>
      <c r="D3" s="51"/>
      <c r="E3" s="50"/>
      <c r="F3" s="148" t="s">
        <v>251</v>
      </c>
      <c r="M3" s="51"/>
      <c r="N3" s="50"/>
      <c r="O3" s="330" t="s">
        <v>252</v>
      </c>
      <c r="X3" s="51"/>
    </row>
    <row r="4" spans="1:24" x14ac:dyDescent="0.25">
      <c r="A4" s="147" t="s">
        <v>8</v>
      </c>
      <c r="B4" s="85">
        <v>1</v>
      </c>
      <c r="C4" s="85">
        <v>0</v>
      </c>
      <c r="D4" s="99"/>
      <c r="E4" s="98"/>
      <c r="F4" s="149" t="s">
        <v>13</v>
      </c>
      <c r="G4" s="1">
        <v>1</v>
      </c>
      <c r="H4" s="1">
        <v>0</v>
      </c>
      <c r="I4" s="1">
        <v>0</v>
      </c>
      <c r="M4" s="51"/>
      <c r="N4" s="50"/>
      <c r="O4" s="149" t="s">
        <v>190</v>
      </c>
      <c r="P4" s="1">
        <v>1</v>
      </c>
      <c r="Q4" s="1">
        <v>0</v>
      </c>
      <c r="R4" s="1">
        <v>0</v>
      </c>
      <c r="S4" s="1">
        <v>0</v>
      </c>
      <c r="X4" s="51"/>
    </row>
    <row r="5" spans="1:24" x14ac:dyDescent="0.25">
      <c r="A5" s="98"/>
      <c r="B5" s="85">
        <v>0</v>
      </c>
      <c r="C5" s="85">
        <v>1</v>
      </c>
      <c r="D5" s="99"/>
      <c r="E5" s="98"/>
      <c r="F5" s="2"/>
      <c r="G5" s="1">
        <v>0</v>
      </c>
      <c r="H5" s="1">
        <v>1</v>
      </c>
      <c r="I5" s="1">
        <v>0</v>
      </c>
      <c r="M5" s="51"/>
      <c r="N5" s="50"/>
      <c r="P5" s="1">
        <v>0</v>
      </c>
      <c r="Q5" s="1">
        <v>1</v>
      </c>
      <c r="R5" s="1">
        <v>0</v>
      </c>
      <c r="S5" s="1">
        <v>0</v>
      </c>
      <c r="X5" s="51"/>
    </row>
    <row r="6" spans="1:24" x14ac:dyDescent="0.25">
      <c r="A6" s="98"/>
      <c r="B6" s="2"/>
      <c r="C6" s="2"/>
      <c r="D6" s="99"/>
      <c r="E6" s="98"/>
      <c r="F6" s="2"/>
      <c r="G6" s="1">
        <v>0</v>
      </c>
      <c r="H6" s="1">
        <v>0</v>
      </c>
      <c r="I6" s="1">
        <v>1</v>
      </c>
      <c r="M6" s="51"/>
      <c r="N6" s="50"/>
      <c r="P6" s="1">
        <v>0</v>
      </c>
      <c r="Q6" s="1">
        <v>0</v>
      </c>
      <c r="R6" s="1">
        <v>1</v>
      </c>
      <c r="S6" s="1">
        <v>0</v>
      </c>
      <c r="X6" s="51"/>
    </row>
    <row r="7" spans="1:24" x14ac:dyDescent="0.25">
      <c r="A7" s="147" t="s">
        <v>9</v>
      </c>
      <c r="B7" s="85">
        <f>C5</f>
        <v>1</v>
      </c>
      <c r="C7" s="85">
        <f>-B5</f>
        <v>0</v>
      </c>
      <c r="D7" s="99"/>
      <c r="E7" s="98"/>
      <c r="F7" s="2"/>
      <c r="G7" s="2"/>
      <c r="H7" s="2"/>
      <c r="I7" s="2"/>
      <c r="M7" s="51"/>
      <c r="N7" s="50"/>
      <c r="P7" s="1">
        <v>0</v>
      </c>
      <c r="Q7" s="1">
        <v>0</v>
      </c>
      <c r="R7" s="1">
        <v>0</v>
      </c>
      <c r="S7" s="1">
        <v>1</v>
      </c>
      <c r="X7" s="51"/>
    </row>
    <row r="8" spans="1:24" x14ac:dyDescent="0.25">
      <c r="A8" s="98"/>
      <c r="B8" s="85">
        <f>-C4</f>
        <v>0</v>
      </c>
      <c r="C8" s="85">
        <f>B4</f>
        <v>1</v>
      </c>
      <c r="D8" s="99"/>
      <c r="E8" s="98"/>
      <c r="F8" s="149" t="s">
        <v>14</v>
      </c>
      <c r="G8" s="85">
        <f>(H5*I6)-(I5*H6)</f>
        <v>1</v>
      </c>
      <c r="H8" s="85">
        <f>G5*I6-I5*G6</f>
        <v>0</v>
      </c>
      <c r="I8" s="85">
        <f>G5*H6-H5*G6</f>
        <v>0</v>
      </c>
      <c r="J8" s="2" t="s">
        <v>15</v>
      </c>
      <c r="K8" s="117" t="s">
        <v>16</v>
      </c>
      <c r="L8" s="117" t="s">
        <v>17</v>
      </c>
      <c r="M8" s="140" t="s">
        <v>18</v>
      </c>
      <c r="N8" s="50"/>
      <c r="P8" s="1"/>
      <c r="Q8" s="1"/>
      <c r="R8" s="1"/>
      <c r="S8" s="1"/>
      <c r="X8" s="51"/>
    </row>
    <row r="9" spans="1:24" x14ac:dyDescent="0.25">
      <c r="A9" s="98"/>
      <c r="B9" s="2"/>
      <c r="C9" s="2"/>
      <c r="D9" s="99"/>
      <c r="E9" s="98"/>
      <c r="F9" s="2"/>
      <c r="G9" s="85">
        <f>H4*I6-I4*H6</f>
        <v>0</v>
      </c>
      <c r="H9" s="85">
        <f>G4*I6-I4*G6</f>
        <v>1</v>
      </c>
      <c r="I9" s="85">
        <f>G4*H6-H4*G6</f>
        <v>0</v>
      </c>
      <c r="J9" s="2" t="s">
        <v>15</v>
      </c>
      <c r="K9" s="117" t="s">
        <v>19</v>
      </c>
      <c r="L9" s="117" t="s">
        <v>20</v>
      </c>
      <c r="M9" s="140" t="s">
        <v>21</v>
      </c>
      <c r="N9" s="50"/>
      <c r="O9" s="149" t="s">
        <v>14</v>
      </c>
      <c r="P9" s="1">
        <v>1</v>
      </c>
      <c r="Q9" s="1">
        <v>0</v>
      </c>
      <c r="R9" s="1">
        <v>0</v>
      </c>
      <c r="S9" s="1">
        <v>0</v>
      </c>
      <c r="X9" s="51"/>
    </row>
    <row r="10" spans="1:24" x14ac:dyDescent="0.25">
      <c r="A10" s="147" t="s">
        <v>10</v>
      </c>
      <c r="B10" s="85">
        <f>B7</f>
        <v>1</v>
      </c>
      <c r="C10" s="85">
        <f>B8</f>
        <v>0</v>
      </c>
      <c r="D10" s="99"/>
      <c r="E10" s="98"/>
      <c r="F10" s="2"/>
      <c r="G10" s="85">
        <f>H4*I5-I4*H5</f>
        <v>0</v>
      </c>
      <c r="H10" s="85">
        <f>G4*I5-I4*G5</f>
        <v>0</v>
      </c>
      <c r="I10" s="85">
        <f>G4*H5-H4*G5</f>
        <v>1</v>
      </c>
      <c r="J10" s="2" t="s">
        <v>15</v>
      </c>
      <c r="K10" s="117" t="s">
        <v>22</v>
      </c>
      <c r="L10" s="117" t="s">
        <v>23</v>
      </c>
      <c r="M10" s="140" t="s">
        <v>24</v>
      </c>
      <c r="N10" s="50"/>
      <c r="P10" s="1">
        <v>0</v>
      </c>
      <c r="Q10" s="1">
        <v>1</v>
      </c>
      <c r="R10" s="1">
        <v>0</v>
      </c>
      <c r="S10" s="1">
        <v>0</v>
      </c>
      <c r="X10" s="51"/>
    </row>
    <row r="11" spans="1:24" x14ac:dyDescent="0.25">
      <c r="A11" s="98"/>
      <c r="B11" s="85">
        <f>C7</f>
        <v>0</v>
      </c>
      <c r="C11" s="85">
        <f>C8</f>
        <v>1</v>
      </c>
      <c r="D11" s="99"/>
      <c r="E11" s="98"/>
      <c r="F11" s="2"/>
      <c r="G11" s="2"/>
      <c r="H11" s="2"/>
      <c r="I11" s="2"/>
      <c r="M11" s="51"/>
      <c r="N11" s="50"/>
      <c r="P11" s="1">
        <v>0</v>
      </c>
      <c r="Q11" s="1">
        <v>0</v>
      </c>
      <c r="R11" s="1">
        <v>1</v>
      </c>
      <c r="S11" s="1">
        <v>0</v>
      </c>
      <c r="X11" s="51"/>
    </row>
    <row r="12" spans="1:24" x14ac:dyDescent="0.25">
      <c r="A12" s="98"/>
      <c r="B12" s="2"/>
      <c r="C12" s="2"/>
      <c r="D12" s="99"/>
      <c r="E12" s="98"/>
      <c r="F12" s="149" t="s">
        <v>25</v>
      </c>
      <c r="G12" s="85">
        <f>G8</f>
        <v>1</v>
      </c>
      <c r="H12" s="85">
        <f>-H8</f>
        <v>0</v>
      </c>
      <c r="I12" s="85">
        <f>I8</f>
        <v>0</v>
      </c>
      <c r="M12" s="51"/>
      <c r="N12" s="50"/>
      <c r="P12" s="1">
        <v>0</v>
      </c>
      <c r="Q12" s="1">
        <v>0</v>
      </c>
      <c r="R12" s="1">
        <v>0</v>
      </c>
      <c r="S12" s="1">
        <v>1</v>
      </c>
      <c r="X12" s="51"/>
    </row>
    <row r="13" spans="1:24" x14ac:dyDescent="0.25">
      <c r="A13" s="147" t="s">
        <v>11</v>
      </c>
      <c r="B13" s="85">
        <f>(B10*C11)-(C10*B11)</f>
        <v>1</v>
      </c>
      <c r="C13" s="2"/>
      <c r="D13" s="99"/>
      <c r="E13" s="98"/>
      <c r="F13" s="2"/>
      <c r="G13" s="85">
        <f>-G9</f>
        <v>0</v>
      </c>
      <c r="H13" s="85">
        <f>H9</f>
        <v>1</v>
      </c>
      <c r="I13" s="85">
        <f>-I9</f>
        <v>0</v>
      </c>
      <c r="M13" s="51"/>
      <c r="N13" s="50"/>
      <c r="X13" s="51"/>
    </row>
    <row r="14" spans="1:24" x14ac:dyDescent="0.25">
      <c r="A14" s="98"/>
      <c r="B14" s="2"/>
      <c r="C14" s="2"/>
      <c r="D14" s="99"/>
      <c r="E14" s="98"/>
      <c r="F14" s="2"/>
      <c r="G14" s="85">
        <f>G10</f>
        <v>0</v>
      </c>
      <c r="H14" s="85">
        <f>-H10</f>
        <v>0</v>
      </c>
      <c r="I14" s="85">
        <f>I10</f>
        <v>1</v>
      </c>
      <c r="M14" s="51"/>
      <c r="N14" s="50"/>
      <c r="O14" s="149" t="s">
        <v>25</v>
      </c>
      <c r="P14" s="1">
        <f>P9</f>
        <v>1</v>
      </c>
      <c r="Q14" s="1">
        <f>-Q9</f>
        <v>0</v>
      </c>
      <c r="R14" s="1">
        <f>R9</f>
        <v>0</v>
      </c>
      <c r="S14" s="1">
        <f>-S9</f>
        <v>0</v>
      </c>
      <c r="X14" s="51"/>
    </row>
    <row r="15" spans="1:24" x14ac:dyDescent="0.25">
      <c r="A15" s="147" t="s">
        <v>12</v>
      </c>
      <c r="B15" s="85">
        <f>B10/B13</f>
        <v>1</v>
      </c>
      <c r="C15" s="85">
        <f>C10/B13</f>
        <v>0</v>
      </c>
      <c r="D15" s="99"/>
      <c r="E15" s="98"/>
      <c r="F15" s="2"/>
      <c r="G15" s="2"/>
      <c r="H15" s="2"/>
      <c r="I15" s="2"/>
      <c r="M15" s="51"/>
      <c r="N15" s="50"/>
      <c r="P15" s="1">
        <f>-P10</f>
        <v>0</v>
      </c>
      <c r="Q15" s="1">
        <f>Q10</f>
        <v>1</v>
      </c>
      <c r="R15" s="1">
        <f>-R10</f>
        <v>0</v>
      </c>
      <c r="S15" s="1">
        <f>S10</f>
        <v>0</v>
      </c>
      <c r="X15" s="51"/>
    </row>
    <row r="16" spans="1:24" x14ac:dyDescent="0.25">
      <c r="A16" s="98"/>
      <c r="B16" s="85">
        <f>B11/B13</f>
        <v>0</v>
      </c>
      <c r="C16" s="85">
        <f>C11/B13</f>
        <v>1</v>
      </c>
      <c r="D16" s="99"/>
      <c r="E16" s="98"/>
      <c r="F16" s="149" t="s">
        <v>26</v>
      </c>
      <c r="G16" s="85">
        <f>G12</f>
        <v>1</v>
      </c>
      <c r="H16" s="85">
        <f>G13</f>
        <v>0</v>
      </c>
      <c r="I16" s="85">
        <f>G14</f>
        <v>0</v>
      </c>
      <c r="M16" s="51"/>
      <c r="N16" s="50"/>
      <c r="P16" s="1">
        <f>P11</f>
        <v>0</v>
      </c>
      <c r="Q16" s="1">
        <f>-Q11</f>
        <v>0</v>
      </c>
      <c r="R16" s="1">
        <f>R11</f>
        <v>1</v>
      </c>
      <c r="S16" s="1">
        <f>-S11</f>
        <v>0</v>
      </c>
      <c r="X16" s="51"/>
    </row>
    <row r="17" spans="1:24" x14ac:dyDescent="0.25">
      <c r="A17" s="98"/>
      <c r="B17" s="2"/>
      <c r="C17" s="2"/>
      <c r="D17" s="99"/>
      <c r="E17" s="98"/>
      <c r="F17" s="2"/>
      <c r="G17" s="85">
        <f>H12</f>
        <v>0</v>
      </c>
      <c r="H17" s="85">
        <f>H13</f>
        <v>1</v>
      </c>
      <c r="I17" s="85">
        <f>H14</f>
        <v>0</v>
      </c>
      <c r="M17" s="51"/>
      <c r="N17" s="50"/>
      <c r="P17" s="1">
        <f>-P12</f>
        <v>0</v>
      </c>
      <c r="Q17" s="1">
        <f>Q12</f>
        <v>0</v>
      </c>
      <c r="R17" s="1">
        <f>-R12</f>
        <v>0</v>
      </c>
      <c r="S17" s="1">
        <f>S12</f>
        <v>1</v>
      </c>
      <c r="X17" s="51"/>
    </row>
    <row r="18" spans="1:24" x14ac:dyDescent="0.25">
      <c r="A18" s="98"/>
      <c r="B18" s="2"/>
      <c r="C18" s="2"/>
      <c r="D18" s="99"/>
      <c r="E18" s="98"/>
      <c r="F18" s="2"/>
      <c r="G18" s="85">
        <f>I12</f>
        <v>0</v>
      </c>
      <c r="H18" s="85">
        <f>I13</f>
        <v>0</v>
      </c>
      <c r="I18" s="85">
        <f>I14</f>
        <v>1</v>
      </c>
      <c r="M18" s="51"/>
      <c r="N18" s="50"/>
      <c r="X18" s="51"/>
    </row>
    <row r="19" spans="1:24" x14ac:dyDescent="0.25">
      <c r="A19" s="98"/>
      <c r="B19" s="2"/>
      <c r="C19" s="2"/>
      <c r="D19" s="99"/>
      <c r="E19" s="98"/>
      <c r="F19" s="2"/>
      <c r="G19" s="2"/>
      <c r="H19" s="2"/>
      <c r="I19" s="2"/>
      <c r="M19" s="51"/>
      <c r="N19" s="50"/>
      <c r="O19" s="149" t="s">
        <v>26</v>
      </c>
      <c r="P19" s="1">
        <f>P14</f>
        <v>1</v>
      </c>
      <c r="Q19" s="1">
        <f>P15</f>
        <v>0</v>
      </c>
      <c r="R19" s="1">
        <f>P16</f>
        <v>0</v>
      </c>
      <c r="S19" s="1">
        <f>P17</f>
        <v>0</v>
      </c>
      <c r="X19" s="51"/>
    </row>
    <row r="20" spans="1:24" x14ac:dyDescent="0.25">
      <c r="A20" s="98"/>
      <c r="B20" s="2"/>
      <c r="C20" s="2"/>
      <c r="D20" s="99"/>
      <c r="E20" s="98"/>
      <c r="F20" s="149" t="s">
        <v>27</v>
      </c>
      <c r="G20" s="85">
        <f>(G12*G4)+(H12*H4)+(I12*I4)</f>
        <v>1</v>
      </c>
      <c r="H20" s="2"/>
      <c r="I20" s="2"/>
      <c r="M20" s="51"/>
      <c r="N20" s="50"/>
      <c r="P20" s="1">
        <f>Q14</f>
        <v>0</v>
      </c>
      <c r="Q20" s="1">
        <f>Q15</f>
        <v>1</v>
      </c>
      <c r="R20" s="1">
        <f>Q16</f>
        <v>0</v>
      </c>
      <c r="S20" s="1">
        <f>Q17</f>
        <v>0</v>
      </c>
      <c r="X20" s="51"/>
    </row>
    <row r="21" spans="1:24" x14ac:dyDescent="0.25">
      <c r="A21" s="98"/>
      <c r="B21" s="2"/>
      <c r="C21" s="2"/>
      <c r="D21" s="99"/>
      <c r="E21" s="98"/>
      <c r="F21" s="2"/>
      <c r="G21" s="2"/>
      <c r="H21" s="2"/>
      <c r="I21" s="2"/>
      <c r="M21" s="51"/>
      <c r="N21" s="50"/>
      <c r="P21" s="1">
        <f>R14</f>
        <v>0</v>
      </c>
      <c r="Q21" s="1">
        <f>R15</f>
        <v>0</v>
      </c>
      <c r="R21" s="1">
        <f>R16</f>
        <v>1</v>
      </c>
      <c r="S21" s="1">
        <f>R17</f>
        <v>0</v>
      </c>
      <c r="X21" s="51"/>
    </row>
    <row r="22" spans="1:24" x14ac:dyDescent="0.25">
      <c r="A22" s="98"/>
      <c r="B22" s="2"/>
      <c r="C22" s="2"/>
      <c r="D22" s="99"/>
      <c r="E22" s="98"/>
      <c r="F22" s="149" t="s">
        <v>189</v>
      </c>
      <c r="G22" s="85">
        <f>G16/$G20</f>
        <v>1</v>
      </c>
      <c r="H22" s="85">
        <f t="shared" ref="H22:I22" si="0">H16/$G20</f>
        <v>0</v>
      </c>
      <c r="I22" s="85">
        <f t="shared" si="0"/>
        <v>0</v>
      </c>
      <c r="M22" s="51"/>
      <c r="N22" s="50"/>
      <c r="P22" s="1">
        <f>S14</f>
        <v>0</v>
      </c>
      <c r="Q22" s="1">
        <f>S15</f>
        <v>0</v>
      </c>
      <c r="R22" s="1">
        <f>S16</f>
        <v>0</v>
      </c>
      <c r="S22" s="1">
        <f>S17</f>
        <v>1</v>
      </c>
      <c r="X22" s="51"/>
    </row>
    <row r="23" spans="1:24" x14ac:dyDescent="0.25">
      <c r="A23" s="98"/>
      <c r="B23" s="2"/>
      <c r="C23" s="2"/>
      <c r="D23" s="99"/>
      <c r="E23" s="98"/>
      <c r="F23" s="2"/>
      <c r="G23" s="85">
        <f>G17/$G20</f>
        <v>0</v>
      </c>
      <c r="H23" s="85">
        <f t="shared" ref="H23:I23" si="1">H17/$G20</f>
        <v>1</v>
      </c>
      <c r="I23" s="85">
        <f t="shared" si="1"/>
        <v>0</v>
      </c>
      <c r="M23" s="51"/>
      <c r="N23" s="50"/>
      <c r="X23" s="51"/>
    </row>
    <row r="24" spans="1:24" x14ac:dyDescent="0.25">
      <c r="A24" s="98"/>
      <c r="B24" s="2"/>
      <c r="C24" s="2"/>
      <c r="D24" s="99"/>
      <c r="E24" s="98"/>
      <c r="F24" s="2"/>
      <c r="G24" s="85">
        <f>G18/$G20</f>
        <v>0</v>
      </c>
      <c r="H24" s="85">
        <f t="shared" ref="H24:I24" si="2">H18/$G20</f>
        <v>0</v>
      </c>
      <c r="I24" s="85">
        <f t="shared" si="2"/>
        <v>1</v>
      </c>
      <c r="M24" s="51"/>
      <c r="N24" s="50"/>
      <c r="O24" s="150" t="s">
        <v>191</v>
      </c>
      <c r="P24" s="1">
        <f>(P14*P4)+(Q14*Q4)+(R14*R4)+(S14*S4)</f>
        <v>1</v>
      </c>
      <c r="X24" s="51"/>
    </row>
    <row r="25" spans="1:24" x14ac:dyDescent="0.25">
      <c r="A25" s="50"/>
      <c r="D25" s="51"/>
      <c r="E25" s="50"/>
      <c r="M25" s="51"/>
      <c r="N25" s="50"/>
      <c r="X25" s="51"/>
    </row>
    <row r="26" spans="1:24" x14ac:dyDescent="0.25">
      <c r="A26" s="50"/>
      <c r="D26" s="51"/>
      <c r="E26" s="50"/>
      <c r="M26" s="51"/>
      <c r="N26" s="50"/>
      <c r="O26" s="150" t="s">
        <v>192</v>
      </c>
      <c r="P26" s="1">
        <f>P19/$P24</f>
        <v>1</v>
      </c>
      <c r="Q26" s="1">
        <f t="shared" ref="Q26:S26" si="3">Q19/$P24</f>
        <v>0</v>
      </c>
      <c r="R26" s="1">
        <f t="shared" si="3"/>
        <v>0</v>
      </c>
      <c r="S26" s="1">
        <f t="shared" si="3"/>
        <v>0</v>
      </c>
      <c r="X26" s="51"/>
    </row>
    <row r="27" spans="1:24" x14ac:dyDescent="0.25">
      <c r="A27" s="50"/>
      <c r="D27" s="51"/>
      <c r="E27" s="50"/>
      <c r="M27" s="51"/>
      <c r="N27" s="50"/>
      <c r="P27" s="1">
        <f>P20/$P24</f>
        <v>0</v>
      </c>
      <c r="Q27" s="1">
        <f t="shared" ref="Q27:S27" si="4">Q20/$P24</f>
        <v>1</v>
      </c>
      <c r="R27" s="1">
        <f t="shared" si="4"/>
        <v>0</v>
      </c>
      <c r="S27" s="1">
        <f t="shared" si="4"/>
        <v>0</v>
      </c>
      <c r="X27" s="51"/>
    </row>
    <row r="28" spans="1:24" x14ac:dyDescent="0.25">
      <c r="A28" s="50"/>
      <c r="D28" s="51"/>
      <c r="E28" s="50"/>
      <c r="M28" s="51"/>
      <c r="N28" s="50"/>
      <c r="P28" s="1">
        <f>P21/$P24</f>
        <v>0</v>
      </c>
      <c r="Q28" s="1">
        <f t="shared" ref="Q28:S28" si="5">Q21/$P24</f>
        <v>0</v>
      </c>
      <c r="R28" s="1">
        <f t="shared" si="5"/>
        <v>1</v>
      </c>
      <c r="S28" s="1">
        <f t="shared" si="5"/>
        <v>0</v>
      </c>
      <c r="X28" s="51"/>
    </row>
    <row r="29" spans="1:24" ht="15.75" customHeight="1" x14ac:dyDescent="0.25">
      <c r="A29" s="50"/>
      <c r="D29" s="51"/>
      <c r="E29" s="50"/>
      <c r="M29" s="51"/>
      <c r="N29" s="50"/>
      <c r="P29" s="1">
        <f>P22/$P24</f>
        <v>0</v>
      </c>
      <c r="Q29" s="1">
        <f t="shared" ref="Q29:S29" si="6">Q22/$P24</f>
        <v>0</v>
      </c>
      <c r="R29" s="1">
        <f t="shared" si="6"/>
        <v>0</v>
      </c>
      <c r="S29" s="1">
        <f t="shared" si="6"/>
        <v>1</v>
      </c>
      <c r="X29" s="51"/>
    </row>
    <row r="30" spans="1:24" x14ac:dyDescent="0.25">
      <c r="A30" s="50"/>
      <c r="D30" s="51"/>
      <c r="E30" s="50"/>
      <c r="M30" s="51"/>
      <c r="N30" s="50"/>
      <c r="X30" s="51"/>
    </row>
    <row r="31" spans="1:24" ht="15.75" thickBot="1" x14ac:dyDescent="0.3">
      <c r="A31" s="52"/>
      <c r="B31" s="39"/>
      <c r="C31" s="39"/>
      <c r="D31" s="40"/>
      <c r="E31" s="52"/>
      <c r="F31" s="39"/>
      <c r="G31" s="39"/>
      <c r="H31" s="39"/>
      <c r="I31" s="39"/>
      <c r="J31" s="39"/>
      <c r="K31" s="39"/>
      <c r="L31" s="39"/>
      <c r="M31" s="40"/>
      <c r="N31" s="52"/>
      <c r="O31" s="39"/>
      <c r="P31" s="39"/>
      <c r="Q31" s="39"/>
      <c r="R31" s="39"/>
      <c r="S31" s="39"/>
      <c r="T31" s="39"/>
      <c r="U31" s="39"/>
      <c r="V31" s="39"/>
      <c r="W31" s="39"/>
      <c r="X31" s="40"/>
    </row>
    <row r="32" spans="1:24" x14ac:dyDescent="0.25">
      <c r="A32" s="47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9"/>
    </row>
    <row r="33" spans="1:24" ht="20.25" thickBot="1" x14ac:dyDescent="0.35">
      <c r="A33" s="50"/>
      <c r="B33" s="386" t="s">
        <v>376</v>
      </c>
      <c r="C33" s="386"/>
      <c r="D33" s="386"/>
      <c r="E33" s="386"/>
      <c r="F33" s="386"/>
      <c r="G33" s="386"/>
      <c r="X33" s="51"/>
    </row>
    <row r="34" spans="1:24" ht="15.75" thickTop="1" x14ac:dyDescent="0.25">
      <c r="A34" s="50"/>
      <c r="X34" s="51"/>
    </row>
    <row r="35" spans="1:24" x14ac:dyDescent="0.25">
      <c r="A35" s="50"/>
      <c r="B35" s="90" t="s">
        <v>190</v>
      </c>
      <c r="C35" s="85">
        <f t="shared" ref="C35:F38" si="7">P4</f>
        <v>1</v>
      </c>
      <c r="D35" s="85">
        <f t="shared" si="7"/>
        <v>0</v>
      </c>
      <c r="E35" s="85">
        <f t="shared" si="7"/>
        <v>0</v>
      </c>
      <c r="F35" s="85">
        <f t="shared" si="7"/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X35" s="51"/>
    </row>
    <row r="36" spans="1:24" x14ac:dyDescent="0.25">
      <c r="A36" s="50"/>
      <c r="B36" s="2"/>
      <c r="C36" s="85">
        <f t="shared" si="7"/>
        <v>0</v>
      </c>
      <c r="D36" s="85">
        <f t="shared" si="7"/>
        <v>1</v>
      </c>
      <c r="E36" s="85">
        <f t="shared" si="7"/>
        <v>0</v>
      </c>
      <c r="F36" s="85">
        <f t="shared" si="7"/>
        <v>0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X36" s="51"/>
    </row>
    <row r="37" spans="1:24" x14ac:dyDescent="0.25">
      <c r="A37" s="50"/>
      <c r="B37" s="2"/>
      <c r="C37" s="85">
        <f t="shared" si="7"/>
        <v>0</v>
      </c>
      <c r="D37" s="85">
        <f t="shared" si="7"/>
        <v>0</v>
      </c>
      <c r="E37" s="85">
        <f t="shared" si="7"/>
        <v>1</v>
      </c>
      <c r="F37" s="85">
        <f t="shared" si="7"/>
        <v>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X37" s="51"/>
    </row>
    <row r="38" spans="1:24" x14ac:dyDescent="0.25">
      <c r="A38" s="50"/>
      <c r="B38" s="2"/>
      <c r="C38" s="85">
        <f t="shared" si="7"/>
        <v>0</v>
      </c>
      <c r="D38" s="85">
        <f t="shared" si="7"/>
        <v>0</v>
      </c>
      <c r="E38" s="85">
        <f t="shared" si="7"/>
        <v>0</v>
      </c>
      <c r="F38" s="85">
        <f t="shared" si="7"/>
        <v>1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X38" s="51"/>
    </row>
    <row r="39" spans="1:24" x14ac:dyDescent="0.25">
      <c r="A39" s="50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X39" s="51"/>
    </row>
    <row r="40" spans="1:24" ht="15.75" thickBot="1" x14ac:dyDescent="0.3">
      <c r="A40" s="50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X40" s="51"/>
    </row>
    <row r="41" spans="1:24" ht="15.75" thickBot="1" x14ac:dyDescent="0.3">
      <c r="A41" s="50"/>
      <c r="B41" s="333" t="s">
        <v>384</v>
      </c>
      <c r="C41" s="172">
        <f t="shared" ref="C41:E43" si="8">D36</f>
        <v>1</v>
      </c>
      <c r="D41" s="172">
        <f t="shared" si="8"/>
        <v>0</v>
      </c>
      <c r="E41" s="329">
        <f t="shared" si="8"/>
        <v>0</v>
      </c>
      <c r="F41" s="172"/>
      <c r="G41" s="333" t="s">
        <v>17</v>
      </c>
      <c r="H41" s="172">
        <f>$C$36</f>
        <v>0</v>
      </c>
      <c r="I41" s="172">
        <f>$E$36</f>
        <v>0</v>
      </c>
      <c r="J41" s="329">
        <f>$F$36</f>
        <v>0</v>
      </c>
      <c r="K41" s="172"/>
      <c r="L41" s="333" t="s">
        <v>18</v>
      </c>
      <c r="M41" s="172">
        <f>$C$36</f>
        <v>0</v>
      </c>
      <c r="N41" s="172">
        <f>$D$36</f>
        <v>1</v>
      </c>
      <c r="O41" s="329">
        <f>$F$36</f>
        <v>0</v>
      </c>
      <c r="P41" s="172"/>
      <c r="Q41" s="333" t="s">
        <v>377</v>
      </c>
      <c r="R41" s="172">
        <f>$C$36</f>
        <v>0</v>
      </c>
      <c r="S41" s="172">
        <f>$D$36</f>
        <v>1</v>
      </c>
      <c r="T41" s="329">
        <f>$E$36</f>
        <v>0</v>
      </c>
      <c r="U41" s="2"/>
      <c r="X41" s="51"/>
    </row>
    <row r="42" spans="1:24" x14ac:dyDescent="0.25">
      <c r="A42" s="50"/>
      <c r="B42" s="172"/>
      <c r="C42" s="328">
        <f t="shared" si="8"/>
        <v>0</v>
      </c>
      <c r="D42" s="172">
        <f t="shared" si="8"/>
        <v>1</v>
      </c>
      <c r="E42" s="329">
        <f t="shared" si="8"/>
        <v>0</v>
      </c>
      <c r="F42" s="172"/>
      <c r="G42" s="329"/>
      <c r="H42" s="172">
        <f>$C$37</f>
        <v>0</v>
      </c>
      <c r="I42" s="172">
        <f>$E$37</f>
        <v>1</v>
      </c>
      <c r="J42" s="329">
        <f>$F$37</f>
        <v>0</v>
      </c>
      <c r="K42" s="172"/>
      <c r="L42" s="329"/>
      <c r="M42" s="172">
        <f>$C$37</f>
        <v>0</v>
      </c>
      <c r="N42" s="172">
        <f>$D$37</f>
        <v>0</v>
      </c>
      <c r="O42" s="329">
        <f>$F$37</f>
        <v>0</v>
      </c>
      <c r="P42" s="172"/>
      <c r="Q42" s="329"/>
      <c r="R42" s="172">
        <f>$C$37</f>
        <v>0</v>
      </c>
      <c r="S42" s="172">
        <f>$D$37</f>
        <v>0</v>
      </c>
      <c r="T42" s="329">
        <f>$E$37</f>
        <v>1</v>
      </c>
      <c r="U42" s="2"/>
      <c r="X42" s="51"/>
    </row>
    <row r="43" spans="1:24" x14ac:dyDescent="0.25">
      <c r="A43" s="50"/>
      <c r="B43" s="172"/>
      <c r="C43" s="328">
        <f t="shared" si="8"/>
        <v>0</v>
      </c>
      <c r="D43" s="172">
        <f t="shared" si="8"/>
        <v>0</v>
      </c>
      <c r="E43" s="329">
        <f t="shared" si="8"/>
        <v>1</v>
      </c>
      <c r="F43" s="172"/>
      <c r="G43" s="329"/>
      <c r="H43" s="172">
        <f>$C$38</f>
        <v>0</v>
      </c>
      <c r="I43" s="172">
        <f>$E$38</f>
        <v>0</v>
      </c>
      <c r="J43" s="329">
        <f>$F$38</f>
        <v>1</v>
      </c>
      <c r="K43" s="172"/>
      <c r="L43" s="329"/>
      <c r="M43" s="172">
        <f>$C$38</f>
        <v>0</v>
      </c>
      <c r="N43" s="172">
        <f>$D$38</f>
        <v>0</v>
      </c>
      <c r="O43" s="329">
        <f>$F$38</f>
        <v>1</v>
      </c>
      <c r="P43" s="172"/>
      <c r="Q43" s="329"/>
      <c r="R43" s="172">
        <f>$C$38</f>
        <v>0</v>
      </c>
      <c r="S43" s="172">
        <f>$D$38</f>
        <v>0</v>
      </c>
      <c r="T43" s="329">
        <f>$E$38</f>
        <v>0</v>
      </c>
      <c r="U43" s="2"/>
      <c r="X43" s="51"/>
    </row>
    <row r="44" spans="1:24" ht="15.75" thickBot="1" x14ac:dyDescent="0.3">
      <c r="A44" s="50"/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2"/>
      <c r="X44" s="51"/>
    </row>
    <row r="45" spans="1:24" ht="15.75" thickBot="1" x14ac:dyDescent="0.3">
      <c r="A45" s="50"/>
      <c r="B45" s="331" t="s">
        <v>384</v>
      </c>
      <c r="C45" s="332">
        <f>((C41*D42*E43)+(C42*D43*E41)+(C43*D41*E42))-((E41*D42*C43)+(E42*D43*C41)+(E43*D41*C42))</f>
        <v>1</v>
      </c>
      <c r="D45" s="172"/>
      <c r="E45" s="172"/>
      <c r="F45" s="172"/>
      <c r="G45" s="331" t="s">
        <v>17</v>
      </c>
      <c r="H45" s="332">
        <f>((H41*I42*J43)+(H42*I43*J41)+(H43*I41*J42))-((J41*I42*H43)+(J42*I43*H41)+(J43*I41*H42))</f>
        <v>0</v>
      </c>
      <c r="I45" s="172"/>
      <c r="J45" s="172"/>
      <c r="K45" s="172"/>
      <c r="L45" s="331" t="s">
        <v>18</v>
      </c>
      <c r="M45" s="332">
        <f>((M41*N42*O43)+(M42*N43*O41)+(M43*N41*O42))-((O41*N42*M43)+(O42*N43*M41)+(O43*N41*M42))</f>
        <v>0</v>
      </c>
      <c r="N45" s="172"/>
      <c r="O45" s="172"/>
      <c r="P45" s="172"/>
      <c r="Q45" s="331" t="s">
        <v>377</v>
      </c>
      <c r="R45" s="332">
        <f>((R41*S42*T43)+(R42*S43*T41)+(R43*S41*T42))-((T41*S42*R43)+(T42*S43*R41)+(T43*S41*R42))</f>
        <v>0</v>
      </c>
      <c r="S45" s="172"/>
      <c r="T45" s="172"/>
      <c r="U45" s="2"/>
      <c r="X45" s="51"/>
    </row>
    <row r="46" spans="1:24" ht="15.75" thickBot="1" x14ac:dyDescent="0.3">
      <c r="A46" s="50"/>
      <c r="B46" s="334" t="s">
        <v>385</v>
      </c>
      <c r="C46" s="335">
        <f>C45</f>
        <v>1</v>
      </c>
      <c r="D46" s="172"/>
      <c r="E46" s="172"/>
      <c r="F46" s="172"/>
      <c r="G46" s="334" t="s">
        <v>386</v>
      </c>
      <c r="H46" s="335">
        <f>-H45</f>
        <v>0</v>
      </c>
      <c r="I46" s="172"/>
      <c r="J46" s="172"/>
      <c r="K46" s="172"/>
      <c r="L46" s="334" t="s">
        <v>387</v>
      </c>
      <c r="M46" s="335">
        <f>M45</f>
        <v>0</v>
      </c>
      <c r="N46" s="172"/>
      <c r="O46" s="172"/>
      <c r="P46" s="172"/>
      <c r="Q46" s="334" t="s">
        <v>388</v>
      </c>
      <c r="R46" s="335">
        <f>-R45</f>
        <v>0</v>
      </c>
      <c r="S46" s="172"/>
      <c r="T46" s="172"/>
      <c r="U46" s="2"/>
      <c r="X46" s="51"/>
    </row>
    <row r="47" spans="1:24" ht="15.75" thickBot="1" x14ac:dyDescent="0.3">
      <c r="A47" s="50"/>
      <c r="B47" s="172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2"/>
      <c r="X47" s="51"/>
    </row>
    <row r="48" spans="1:24" ht="15.75" thickBot="1" x14ac:dyDescent="0.3">
      <c r="A48" s="50"/>
      <c r="B48" s="333" t="s">
        <v>19</v>
      </c>
      <c r="C48" s="172">
        <f>$D$35</f>
        <v>0</v>
      </c>
      <c r="D48" s="172">
        <f>$E$35</f>
        <v>0</v>
      </c>
      <c r="E48" s="329">
        <f>$F$35</f>
        <v>0</v>
      </c>
      <c r="F48" s="172"/>
      <c r="G48" s="333" t="s">
        <v>20</v>
      </c>
      <c r="H48" s="172">
        <f>$C$35</f>
        <v>1</v>
      </c>
      <c r="I48" s="172">
        <f>$E$35</f>
        <v>0</v>
      </c>
      <c r="J48" s="329">
        <f>$F$35</f>
        <v>0</v>
      </c>
      <c r="K48" s="172"/>
      <c r="L48" s="333" t="s">
        <v>21</v>
      </c>
      <c r="M48" s="172">
        <f>$C$35</f>
        <v>1</v>
      </c>
      <c r="N48" s="172">
        <f>$D$35</f>
        <v>0</v>
      </c>
      <c r="O48" s="329">
        <f>$F$35</f>
        <v>0</v>
      </c>
      <c r="P48" s="172"/>
      <c r="Q48" s="333" t="s">
        <v>378</v>
      </c>
      <c r="R48" s="172">
        <f>$C$35</f>
        <v>1</v>
      </c>
      <c r="S48" s="172">
        <f>$D$35</f>
        <v>0</v>
      </c>
      <c r="T48" s="329">
        <f>$E$35</f>
        <v>0</v>
      </c>
      <c r="U48" s="2"/>
      <c r="X48" s="51"/>
    </row>
    <row r="49" spans="1:24" x14ac:dyDescent="0.25">
      <c r="A49" s="50"/>
      <c r="B49" s="329"/>
      <c r="C49" s="172">
        <f>$D$37</f>
        <v>0</v>
      </c>
      <c r="D49" s="172">
        <f>$E$37</f>
        <v>1</v>
      </c>
      <c r="E49" s="329">
        <f>$F$37</f>
        <v>0</v>
      </c>
      <c r="F49" s="172"/>
      <c r="G49" s="329"/>
      <c r="H49" s="172">
        <f>$C$37</f>
        <v>0</v>
      </c>
      <c r="I49" s="172">
        <f>$E$37</f>
        <v>1</v>
      </c>
      <c r="J49" s="329">
        <f>$F$37</f>
        <v>0</v>
      </c>
      <c r="K49" s="172"/>
      <c r="L49" s="329"/>
      <c r="M49" s="172">
        <f>$C$37</f>
        <v>0</v>
      </c>
      <c r="N49" s="172">
        <f>$D$37</f>
        <v>0</v>
      </c>
      <c r="O49" s="329">
        <f>$F$37</f>
        <v>0</v>
      </c>
      <c r="P49" s="172"/>
      <c r="Q49" s="329"/>
      <c r="R49" s="172">
        <f>$C$37</f>
        <v>0</v>
      </c>
      <c r="S49" s="172">
        <f>$D$37</f>
        <v>0</v>
      </c>
      <c r="T49" s="329">
        <f>$E$37</f>
        <v>1</v>
      </c>
      <c r="U49" s="2"/>
      <c r="X49" s="51"/>
    </row>
    <row r="50" spans="1:24" x14ac:dyDescent="0.25">
      <c r="A50" s="50"/>
      <c r="B50" s="329"/>
      <c r="C50" s="172">
        <f>$D$38</f>
        <v>0</v>
      </c>
      <c r="D50" s="172">
        <f>$E$38</f>
        <v>0</v>
      </c>
      <c r="E50" s="329">
        <f>$F$38</f>
        <v>1</v>
      </c>
      <c r="F50" s="172"/>
      <c r="G50" s="329"/>
      <c r="H50" s="172">
        <f>$C$38</f>
        <v>0</v>
      </c>
      <c r="I50" s="172">
        <f>$E$38</f>
        <v>0</v>
      </c>
      <c r="J50" s="329">
        <f>$F$38</f>
        <v>1</v>
      </c>
      <c r="K50" s="172"/>
      <c r="L50" s="329"/>
      <c r="M50" s="172">
        <f>$C$38</f>
        <v>0</v>
      </c>
      <c r="N50" s="172">
        <f>$D$38</f>
        <v>0</v>
      </c>
      <c r="O50" s="329">
        <f>$F$38</f>
        <v>1</v>
      </c>
      <c r="P50" s="172"/>
      <c r="Q50" s="329"/>
      <c r="R50" s="172">
        <f>$C$38</f>
        <v>0</v>
      </c>
      <c r="S50" s="172">
        <f>$D$38</f>
        <v>0</v>
      </c>
      <c r="T50" s="329">
        <f>$E$38</f>
        <v>0</v>
      </c>
      <c r="U50" s="2"/>
      <c r="X50" s="51"/>
    </row>
    <row r="51" spans="1:24" ht="15.75" thickBot="1" x14ac:dyDescent="0.3">
      <c r="A51" s="50"/>
      <c r="B51" s="172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2"/>
      <c r="X51" s="51"/>
    </row>
    <row r="52" spans="1:24" ht="15.75" thickBot="1" x14ac:dyDescent="0.3">
      <c r="A52" s="50"/>
      <c r="B52" s="331" t="s">
        <v>19</v>
      </c>
      <c r="C52" s="332">
        <f>((C48*D49*E50)+(C49*D50*E48)+(C50*D48*E49))-((E48*D49*C50)+(E49*D50*C48)+(E50*D48*C49))</f>
        <v>0</v>
      </c>
      <c r="D52" s="172"/>
      <c r="E52" s="172"/>
      <c r="F52" s="172"/>
      <c r="G52" s="331" t="s">
        <v>20</v>
      </c>
      <c r="H52" s="332">
        <f>((H48*I49*J50)+(H49*I50*J48)+(H50*I48*J49))-((J48*I49*H50)+(J49*I50*H48)+(J50*I48*H49))</f>
        <v>1</v>
      </c>
      <c r="I52" s="172"/>
      <c r="J52" s="172"/>
      <c r="K52" s="172"/>
      <c r="L52" s="331" t="s">
        <v>21</v>
      </c>
      <c r="M52" s="332">
        <f>((M48*N49*O50)+(M49*N50*O48)+(M50*N48*O49))-((O48*N49*M50)+(O49*N50*M48)+(O50*N48*M49))</f>
        <v>0</v>
      </c>
      <c r="N52" s="172"/>
      <c r="O52" s="172"/>
      <c r="P52" s="172"/>
      <c r="Q52" s="331" t="s">
        <v>378</v>
      </c>
      <c r="R52" s="332">
        <f>((R48*S49*T50)+(R49*S50*T48)+(R50*S48*T49))-((T48*S49*R50)+(T49*S50*R48)+(T50*S48*R49))</f>
        <v>0</v>
      </c>
      <c r="S52" s="172"/>
      <c r="T52" s="172"/>
      <c r="U52" s="2"/>
      <c r="X52" s="51"/>
    </row>
    <row r="53" spans="1:24" ht="15.75" thickBot="1" x14ac:dyDescent="0.3">
      <c r="A53" s="50"/>
      <c r="B53" s="334" t="s">
        <v>389</v>
      </c>
      <c r="C53" s="335">
        <f>-C52</f>
        <v>0</v>
      </c>
      <c r="D53" s="172"/>
      <c r="E53" s="172"/>
      <c r="F53" s="172"/>
      <c r="G53" s="334" t="s">
        <v>390</v>
      </c>
      <c r="H53" s="335">
        <f>H52</f>
        <v>1</v>
      </c>
      <c r="I53" s="172"/>
      <c r="J53" s="172"/>
      <c r="K53" s="172"/>
      <c r="L53" s="334" t="s">
        <v>391</v>
      </c>
      <c r="M53" s="335">
        <f>-M52</f>
        <v>0</v>
      </c>
      <c r="N53" s="172"/>
      <c r="O53" s="172"/>
      <c r="P53" s="172"/>
      <c r="Q53" s="334" t="s">
        <v>392</v>
      </c>
      <c r="R53" s="335">
        <f>R52</f>
        <v>0</v>
      </c>
      <c r="S53" s="172"/>
      <c r="T53" s="172"/>
      <c r="U53" s="2"/>
      <c r="X53" s="51"/>
    </row>
    <row r="54" spans="1:24" ht="15.75" thickBot="1" x14ac:dyDescent="0.3">
      <c r="A54" s="50"/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2"/>
      <c r="X54" s="51"/>
    </row>
    <row r="55" spans="1:24" ht="15.75" thickBot="1" x14ac:dyDescent="0.3">
      <c r="A55" s="50"/>
      <c r="B55" s="333" t="s">
        <v>22</v>
      </c>
      <c r="C55" s="172">
        <f>$D$35</f>
        <v>0</v>
      </c>
      <c r="D55" s="172">
        <f>$E$35</f>
        <v>0</v>
      </c>
      <c r="E55" s="329">
        <f>$F$35</f>
        <v>0</v>
      </c>
      <c r="F55" s="172"/>
      <c r="G55" s="333" t="s">
        <v>23</v>
      </c>
      <c r="H55" s="172">
        <f>$C$35</f>
        <v>1</v>
      </c>
      <c r="I55" s="172">
        <f>$E$35</f>
        <v>0</v>
      </c>
      <c r="J55" s="329">
        <f>$F$35</f>
        <v>0</v>
      </c>
      <c r="K55" s="172"/>
      <c r="L55" s="333" t="s">
        <v>24</v>
      </c>
      <c r="M55" s="172">
        <f>$C$35</f>
        <v>1</v>
      </c>
      <c r="N55" s="172">
        <f>$D$35</f>
        <v>0</v>
      </c>
      <c r="O55" s="329">
        <f>$F$35</f>
        <v>0</v>
      </c>
      <c r="P55" s="172"/>
      <c r="Q55" s="333" t="s">
        <v>380</v>
      </c>
      <c r="R55" s="172">
        <f>$C$35</f>
        <v>1</v>
      </c>
      <c r="S55" s="172">
        <f>$D$35</f>
        <v>0</v>
      </c>
      <c r="T55" s="329">
        <f>$E$35</f>
        <v>0</v>
      </c>
      <c r="U55" s="2"/>
      <c r="X55" s="51"/>
    </row>
    <row r="56" spans="1:24" x14ac:dyDescent="0.25">
      <c r="A56" s="50"/>
      <c r="B56" s="329"/>
      <c r="C56" s="172">
        <f>$D$36</f>
        <v>1</v>
      </c>
      <c r="D56" s="172">
        <f>$E$36</f>
        <v>0</v>
      </c>
      <c r="E56" s="329">
        <f>$F$36</f>
        <v>0</v>
      </c>
      <c r="F56" s="172"/>
      <c r="G56" s="329"/>
      <c r="H56" s="172">
        <f>$C$36</f>
        <v>0</v>
      </c>
      <c r="I56" s="172">
        <f>$E$36</f>
        <v>0</v>
      </c>
      <c r="J56" s="329">
        <f>$F$36</f>
        <v>0</v>
      </c>
      <c r="K56" s="172"/>
      <c r="L56" s="329"/>
      <c r="M56" s="172">
        <f>$C$36</f>
        <v>0</v>
      </c>
      <c r="N56" s="172">
        <f>$D$36</f>
        <v>1</v>
      </c>
      <c r="O56" s="329">
        <f>$F$36</f>
        <v>0</v>
      </c>
      <c r="P56" s="172"/>
      <c r="Q56" s="329"/>
      <c r="R56" s="172">
        <f>$C$36</f>
        <v>0</v>
      </c>
      <c r="S56" s="172">
        <f>$D$36</f>
        <v>1</v>
      </c>
      <c r="T56" s="329">
        <f>$E$36</f>
        <v>0</v>
      </c>
      <c r="U56" s="2"/>
      <c r="X56" s="51"/>
    </row>
    <row r="57" spans="1:24" x14ac:dyDescent="0.25">
      <c r="A57" s="50"/>
      <c r="B57" s="329"/>
      <c r="C57" s="172">
        <f>$D$38</f>
        <v>0</v>
      </c>
      <c r="D57" s="172">
        <f>$E$38</f>
        <v>0</v>
      </c>
      <c r="E57" s="329">
        <f>$F$38</f>
        <v>1</v>
      </c>
      <c r="F57" s="172"/>
      <c r="G57" s="329"/>
      <c r="H57" s="172">
        <f>$C$38</f>
        <v>0</v>
      </c>
      <c r="I57" s="172">
        <f>$E$38</f>
        <v>0</v>
      </c>
      <c r="J57" s="329">
        <f>$F$38</f>
        <v>1</v>
      </c>
      <c r="K57" s="172"/>
      <c r="L57" s="329"/>
      <c r="M57" s="172">
        <f>$C$38</f>
        <v>0</v>
      </c>
      <c r="N57" s="172">
        <f>$D$38</f>
        <v>0</v>
      </c>
      <c r="O57" s="329">
        <f>$F$38</f>
        <v>1</v>
      </c>
      <c r="P57" s="172"/>
      <c r="Q57" s="329"/>
      <c r="R57" s="172">
        <f>$C$38</f>
        <v>0</v>
      </c>
      <c r="S57" s="172">
        <f>$D$38</f>
        <v>0</v>
      </c>
      <c r="T57" s="329">
        <f>$E$38</f>
        <v>0</v>
      </c>
      <c r="U57" s="2"/>
      <c r="X57" s="51"/>
    </row>
    <row r="58" spans="1:24" ht="15.75" thickBot="1" x14ac:dyDescent="0.3">
      <c r="A58" s="50"/>
      <c r="B58" s="172"/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2"/>
      <c r="X58" s="51"/>
    </row>
    <row r="59" spans="1:24" ht="15.75" thickBot="1" x14ac:dyDescent="0.3">
      <c r="A59" s="50"/>
      <c r="B59" s="331" t="s">
        <v>22</v>
      </c>
      <c r="C59" s="332">
        <f>((C55*D56*E57)+(C56*D57*E55)+(C57*D55*E56))-((E55*D56*C57)+(E56*D57*C55)+(E57*D55*C56))</f>
        <v>0</v>
      </c>
      <c r="D59" s="172"/>
      <c r="E59" s="172"/>
      <c r="F59" s="172"/>
      <c r="G59" s="331" t="s">
        <v>23</v>
      </c>
      <c r="H59" s="332">
        <f>((H55*I56*J57)+(H56*I57*J55)+(H57*I55*J56))-((J55*I56*H57)+(J56*I57*H55)+(J57*I55*H56))</f>
        <v>0</v>
      </c>
      <c r="I59" s="172"/>
      <c r="J59" s="172"/>
      <c r="K59" s="172"/>
      <c r="L59" s="331" t="s">
        <v>24</v>
      </c>
      <c r="M59" s="332">
        <f>((M55*N56*O57)+(M56*N57*O55)+(M57*N55*O56))-((O55*N56*M57)+(O56*N57*M55)+(O57*N55*M56))</f>
        <v>1</v>
      </c>
      <c r="N59" s="172"/>
      <c r="O59" s="172"/>
      <c r="P59" s="172"/>
      <c r="Q59" s="331" t="s">
        <v>380</v>
      </c>
      <c r="R59" s="332">
        <f>((R55*S56*T57)+(R56*S57*T55)+(R57*S55*T56))-((T55*S56*R57)+(T56*S57*R55)+(T57*S55*R56))</f>
        <v>0</v>
      </c>
      <c r="S59" s="172"/>
      <c r="T59" s="172"/>
      <c r="U59" s="2"/>
      <c r="X59" s="51"/>
    </row>
    <row r="60" spans="1:24" ht="15.75" thickBot="1" x14ac:dyDescent="0.3">
      <c r="A60" s="50"/>
      <c r="B60" s="334" t="s">
        <v>393</v>
      </c>
      <c r="C60" s="335">
        <f>C59</f>
        <v>0</v>
      </c>
      <c r="D60" s="172"/>
      <c r="E60" s="172"/>
      <c r="F60" s="172"/>
      <c r="G60" s="334" t="s">
        <v>394</v>
      </c>
      <c r="H60" s="335">
        <f>-H59</f>
        <v>0</v>
      </c>
      <c r="I60" s="172"/>
      <c r="J60" s="172"/>
      <c r="K60" s="172"/>
      <c r="L60" s="334" t="s">
        <v>395</v>
      </c>
      <c r="M60" s="335">
        <f>M59</f>
        <v>1</v>
      </c>
      <c r="N60" s="172"/>
      <c r="O60" s="172"/>
      <c r="P60" s="172"/>
      <c r="Q60" s="334" t="s">
        <v>396</v>
      </c>
      <c r="R60" s="335">
        <f>-R59</f>
        <v>0</v>
      </c>
      <c r="S60" s="172"/>
      <c r="T60" s="172"/>
      <c r="U60" s="2"/>
      <c r="X60" s="51"/>
    </row>
    <row r="61" spans="1:24" ht="15.75" thickBot="1" x14ac:dyDescent="0.3">
      <c r="A61" s="50"/>
      <c r="B61" s="172"/>
      <c r="C61" s="172"/>
      <c r="D61" s="172"/>
      <c r="E61" s="172"/>
      <c r="F61" s="172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2"/>
      <c r="X61" s="51"/>
    </row>
    <row r="62" spans="1:24" ht="15.75" thickBot="1" x14ac:dyDescent="0.3">
      <c r="A62" s="50"/>
      <c r="B62" s="333" t="s">
        <v>379</v>
      </c>
      <c r="C62" s="172">
        <f>$D$35</f>
        <v>0</v>
      </c>
      <c r="D62" s="172">
        <f>$E$35</f>
        <v>0</v>
      </c>
      <c r="E62" s="329">
        <f>$F$35</f>
        <v>0</v>
      </c>
      <c r="F62" s="172"/>
      <c r="G62" s="333" t="s">
        <v>381</v>
      </c>
      <c r="H62" s="172">
        <f>$C$35</f>
        <v>1</v>
      </c>
      <c r="I62" s="172">
        <f>$E$35</f>
        <v>0</v>
      </c>
      <c r="J62" s="329">
        <f>$F$35</f>
        <v>0</v>
      </c>
      <c r="K62" s="172"/>
      <c r="L62" s="333" t="s">
        <v>382</v>
      </c>
      <c r="M62" s="172">
        <f>$C$35</f>
        <v>1</v>
      </c>
      <c r="N62" s="172">
        <f>$D$35</f>
        <v>0</v>
      </c>
      <c r="O62" s="329">
        <f>$F$35</f>
        <v>0</v>
      </c>
      <c r="P62" s="172"/>
      <c r="Q62" s="333" t="s">
        <v>383</v>
      </c>
      <c r="R62" s="172">
        <f>$C$35</f>
        <v>1</v>
      </c>
      <c r="S62" s="172">
        <f>$D$35</f>
        <v>0</v>
      </c>
      <c r="T62" s="329">
        <f>$E$35</f>
        <v>0</v>
      </c>
      <c r="U62" s="2"/>
      <c r="X62" s="51"/>
    </row>
    <row r="63" spans="1:24" x14ac:dyDescent="0.25">
      <c r="A63" s="50"/>
      <c r="B63" s="329"/>
      <c r="C63" s="172">
        <f>$D$36</f>
        <v>1</v>
      </c>
      <c r="D63" s="172">
        <f>$E$36</f>
        <v>0</v>
      </c>
      <c r="E63" s="329">
        <f>$F$36</f>
        <v>0</v>
      </c>
      <c r="F63" s="172"/>
      <c r="G63" s="329"/>
      <c r="H63" s="172">
        <f>$C$36</f>
        <v>0</v>
      </c>
      <c r="I63" s="172">
        <f>$E$36</f>
        <v>0</v>
      </c>
      <c r="J63" s="329">
        <f>$F$36</f>
        <v>0</v>
      </c>
      <c r="K63" s="172"/>
      <c r="M63" s="172">
        <f>$C$36</f>
        <v>0</v>
      </c>
      <c r="N63" s="172">
        <f>$D$36</f>
        <v>1</v>
      </c>
      <c r="O63" s="329">
        <f>$F$36</f>
        <v>0</v>
      </c>
      <c r="P63" s="172"/>
      <c r="Q63" s="329"/>
      <c r="R63" s="172">
        <f>$C$36</f>
        <v>0</v>
      </c>
      <c r="S63" s="172">
        <f>$D$36</f>
        <v>1</v>
      </c>
      <c r="T63" s="329">
        <f>$E$36</f>
        <v>0</v>
      </c>
      <c r="X63" s="51"/>
    </row>
    <row r="64" spans="1:24" x14ac:dyDescent="0.25">
      <c r="A64" s="50"/>
      <c r="B64" s="329"/>
      <c r="C64" s="172">
        <f>$D$37</f>
        <v>0</v>
      </c>
      <c r="D64" s="172">
        <f>$E$37</f>
        <v>1</v>
      </c>
      <c r="E64" s="329">
        <f>$F$37</f>
        <v>0</v>
      </c>
      <c r="F64" s="172"/>
      <c r="G64" s="329"/>
      <c r="H64" s="172">
        <f>$C$37</f>
        <v>0</v>
      </c>
      <c r="I64" s="172">
        <f>$E$37</f>
        <v>1</v>
      </c>
      <c r="J64" s="329">
        <f>$F$37</f>
        <v>0</v>
      </c>
      <c r="K64" s="172"/>
      <c r="L64" s="329"/>
      <c r="M64" s="172">
        <f>$C$37</f>
        <v>0</v>
      </c>
      <c r="N64" s="172">
        <f>$D$37</f>
        <v>0</v>
      </c>
      <c r="O64" s="329">
        <f>$F$37</f>
        <v>0</v>
      </c>
      <c r="P64" s="172"/>
      <c r="Q64" s="329"/>
      <c r="R64" s="172">
        <f>$C$37</f>
        <v>0</v>
      </c>
      <c r="S64" s="172">
        <f>$D$37</f>
        <v>0</v>
      </c>
      <c r="T64" s="329">
        <f>$E$37</f>
        <v>1</v>
      </c>
      <c r="X64" s="51"/>
    </row>
    <row r="65" spans="1:24" ht="15.75" thickBot="1" x14ac:dyDescent="0.3">
      <c r="A65" s="50"/>
      <c r="B65" s="172"/>
      <c r="C65" s="172"/>
      <c r="D65" s="172"/>
      <c r="E65" s="172"/>
      <c r="F65" s="172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X65" s="51"/>
    </row>
    <row r="66" spans="1:24" ht="15.75" thickBot="1" x14ac:dyDescent="0.3">
      <c r="A66" s="50"/>
      <c r="B66" s="331" t="s">
        <v>379</v>
      </c>
      <c r="C66" s="332">
        <f>((C62*D63*E64)+(C63*D64*E62)+(C64*D62*E63))-((E62*D63*C64)+(E63*D64*C62)+(E64*D62*C63))</f>
        <v>0</v>
      </c>
      <c r="D66" s="172"/>
      <c r="E66" s="172"/>
      <c r="F66" s="172"/>
      <c r="G66" s="331" t="s">
        <v>381</v>
      </c>
      <c r="H66" s="332">
        <f>((H62*I63*J64)+(H63*I64*J62)+(H64*I62*J63))-((J62*I63*H64)+(J63*I64*H62)+(J64*I62*H63))</f>
        <v>0</v>
      </c>
      <c r="I66" s="172"/>
      <c r="J66" s="172"/>
      <c r="K66" s="172"/>
      <c r="L66" s="331" t="s">
        <v>382</v>
      </c>
      <c r="M66" s="332">
        <f>((M62*N63*O64)+(M63*N64*O62)+(M64*N62*O63))-((O62*N63*M64)+(O63*N64*M62)+(O64*N62*M63))</f>
        <v>0</v>
      </c>
      <c r="N66" s="172"/>
      <c r="O66" s="172"/>
      <c r="P66" s="172"/>
      <c r="Q66" s="331" t="s">
        <v>383</v>
      </c>
      <c r="R66" s="332">
        <f>((R62*S63*T64)+(R63*S64*T62)+(R64*S62*T63))-((T62*S63*R64)+(T63*S64*R62)+(T64*S62*R63))</f>
        <v>1</v>
      </c>
      <c r="S66" s="172"/>
      <c r="T66" s="172"/>
      <c r="X66" s="51"/>
    </row>
    <row r="67" spans="1:24" ht="15.75" thickBot="1" x14ac:dyDescent="0.3">
      <c r="A67" s="50"/>
      <c r="B67" s="334" t="s">
        <v>397</v>
      </c>
      <c r="C67" s="335">
        <f>-C66</f>
        <v>0</v>
      </c>
      <c r="D67" s="172"/>
      <c r="E67" s="172"/>
      <c r="F67" s="172"/>
      <c r="G67" s="334" t="s">
        <v>398</v>
      </c>
      <c r="H67" s="335">
        <f>H66</f>
        <v>0</v>
      </c>
      <c r="I67" s="172"/>
      <c r="J67" s="172"/>
      <c r="K67" s="172"/>
      <c r="L67" s="334" t="s">
        <v>399</v>
      </c>
      <c r="M67" s="335">
        <f>-M66</f>
        <v>0</v>
      </c>
      <c r="N67" s="172"/>
      <c r="O67" s="172"/>
      <c r="P67" s="172"/>
      <c r="Q67" s="334" t="s">
        <v>400</v>
      </c>
      <c r="R67" s="335">
        <f>R66</f>
        <v>1</v>
      </c>
      <c r="S67" s="172"/>
      <c r="T67" s="172"/>
      <c r="X67" s="51"/>
    </row>
    <row r="68" spans="1:24" x14ac:dyDescent="0.25">
      <c r="A68" s="50"/>
      <c r="B68" s="172"/>
      <c r="C68" s="172"/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X68" s="51"/>
    </row>
    <row r="69" spans="1:24" x14ac:dyDescent="0.25">
      <c r="A69" s="50"/>
      <c r="X69" s="51"/>
    </row>
    <row r="70" spans="1:24" x14ac:dyDescent="0.25">
      <c r="A70" s="50"/>
      <c r="X70" s="51"/>
    </row>
    <row r="71" spans="1:24" x14ac:dyDescent="0.25">
      <c r="A71" s="50"/>
      <c r="B71" s="385" t="s">
        <v>9</v>
      </c>
      <c r="C71" s="385"/>
      <c r="D71" s="1">
        <f>C46</f>
        <v>1</v>
      </c>
      <c r="E71" s="1">
        <f>H46</f>
        <v>0</v>
      </c>
      <c r="F71" s="1">
        <f>M46</f>
        <v>0</v>
      </c>
      <c r="G71" s="1">
        <f>R46</f>
        <v>0</v>
      </c>
      <c r="X71" s="51"/>
    </row>
    <row r="72" spans="1:24" x14ac:dyDescent="0.25">
      <c r="A72" s="50"/>
      <c r="D72" s="1">
        <f>C53</f>
        <v>0</v>
      </c>
      <c r="E72" s="1">
        <f>H53</f>
        <v>1</v>
      </c>
      <c r="F72" s="1">
        <f>M53</f>
        <v>0</v>
      </c>
      <c r="G72" s="1">
        <f>R53</f>
        <v>0</v>
      </c>
      <c r="X72" s="51"/>
    </row>
    <row r="73" spans="1:24" x14ac:dyDescent="0.25">
      <c r="A73" s="50"/>
      <c r="D73" s="1">
        <f>C60</f>
        <v>0</v>
      </c>
      <c r="E73" s="1">
        <f>H60</f>
        <v>0</v>
      </c>
      <c r="F73" s="1">
        <f>M60</f>
        <v>1</v>
      </c>
      <c r="G73" s="1">
        <f>R60</f>
        <v>0</v>
      </c>
      <c r="X73" s="51"/>
    </row>
    <row r="74" spans="1:24" x14ac:dyDescent="0.25">
      <c r="A74" s="50"/>
      <c r="D74" s="1">
        <f>C67</f>
        <v>0</v>
      </c>
      <c r="E74" s="1">
        <f>H67</f>
        <v>0</v>
      </c>
      <c r="F74" s="1">
        <f>M67</f>
        <v>0</v>
      </c>
      <c r="G74" s="1">
        <f>R67</f>
        <v>1</v>
      </c>
      <c r="X74" s="51"/>
    </row>
    <row r="75" spans="1:24" x14ac:dyDescent="0.25">
      <c r="A75" s="50"/>
      <c r="X75" s="51"/>
    </row>
    <row r="76" spans="1:24" x14ac:dyDescent="0.25">
      <c r="A76" s="50"/>
      <c r="B76" s="385" t="s">
        <v>26</v>
      </c>
      <c r="C76" s="385"/>
      <c r="D76" s="1">
        <f>D71</f>
        <v>1</v>
      </c>
      <c r="E76" s="1">
        <f>D72</f>
        <v>0</v>
      </c>
      <c r="F76" s="1">
        <f>D73</f>
        <v>0</v>
      </c>
      <c r="G76" s="1">
        <f>D74</f>
        <v>0</v>
      </c>
      <c r="X76" s="51"/>
    </row>
    <row r="77" spans="1:24" x14ac:dyDescent="0.25">
      <c r="A77" s="50"/>
      <c r="D77" s="1">
        <f>E71</f>
        <v>0</v>
      </c>
      <c r="E77" s="1">
        <f>E72</f>
        <v>1</v>
      </c>
      <c r="F77" s="1">
        <f>E73</f>
        <v>0</v>
      </c>
      <c r="G77" s="1">
        <f>E74</f>
        <v>0</v>
      </c>
      <c r="X77" s="51"/>
    </row>
    <row r="78" spans="1:24" x14ac:dyDescent="0.25">
      <c r="A78" s="50"/>
      <c r="D78" s="1">
        <f>F71</f>
        <v>0</v>
      </c>
      <c r="E78" s="1">
        <f>F72</f>
        <v>0</v>
      </c>
      <c r="F78" s="1">
        <f>F73</f>
        <v>1</v>
      </c>
      <c r="G78" s="1">
        <f>F74</f>
        <v>0</v>
      </c>
      <c r="X78" s="51"/>
    </row>
    <row r="79" spans="1:24" x14ac:dyDescent="0.25">
      <c r="A79" s="50"/>
      <c r="D79" s="1">
        <f>G71</f>
        <v>0</v>
      </c>
      <c r="E79" s="1">
        <f>G72</f>
        <v>0</v>
      </c>
      <c r="F79" s="1">
        <f>G73</f>
        <v>0</v>
      </c>
      <c r="G79" s="1">
        <f>G74</f>
        <v>1</v>
      </c>
      <c r="X79" s="51"/>
    </row>
    <row r="80" spans="1:24" x14ac:dyDescent="0.25">
      <c r="A80" s="50"/>
      <c r="X80" s="51"/>
    </row>
    <row r="81" spans="1:24" x14ac:dyDescent="0.25">
      <c r="A81" s="50"/>
      <c r="B81" s="385" t="s">
        <v>401</v>
      </c>
      <c r="C81" s="385"/>
      <c r="D81" s="1">
        <f>(D71*C35)+(E71*D35)+(F71*E35)+(G71*F35)</f>
        <v>1</v>
      </c>
      <c r="X81" s="51"/>
    </row>
    <row r="82" spans="1:24" x14ac:dyDescent="0.25">
      <c r="A82" s="50"/>
      <c r="X82" s="51"/>
    </row>
    <row r="83" spans="1:24" x14ac:dyDescent="0.25">
      <c r="A83" s="50"/>
      <c r="B83" s="385" t="s">
        <v>192</v>
      </c>
      <c r="C83" s="385"/>
      <c r="D83" s="1">
        <f>D76/$D81</f>
        <v>1</v>
      </c>
      <c r="E83" s="1">
        <f>E76/$D81</f>
        <v>0</v>
      </c>
      <c r="F83" s="1">
        <f>F76/$D81</f>
        <v>0</v>
      </c>
      <c r="G83" s="1">
        <f>G76/$D81</f>
        <v>0</v>
      </c>
      <c r="X83" s="51"/>
    </row>
    <row r="84" spans="1:24" x14ac:dyDescent="0.25">
      <c r="A84" s="50"/>
      <c r="D84" s="1">
        <f>D77/$D81</f>
        <v>0</v>
      </c>
      <c r="E84" s="1">
        <f>E77/$D81</f>
        <v>1</v>
      </c>
      <c r="F84" s="1">
        <f>F77/$D81</f>
        <v>0</v>
      </c>
      <c r="G84" s="1">
        <f>G77/$D81</f>
        <v>0</v>
      </c>
      <c r="X84" s="51"/>
    </row>
    <row r="85" spans="1:24" x14ac:dyDescent="0.25">
      <c r="A85" s="50"/>
      <c r="D85" s="1">
        <f>D78/$D81</f>
        <v>0</v>
      </c>
      <c r="E85" s="1">
        <f>E78/$D81</f>
        <v>0</v>
      </c>
      <c r="F85" s="1">
        <f>F78/$D81</f>
        <v>1</v>
      </c>
      <c r="G85" s="1">
        <f>G78/$D81</f>
        <v>0</v>
      </c>
      <c r="X85" s="51"/>
    </row>
    <row r="86" spans="1:24" x14ac:dyDescent="0.25">
      <c r="A86" s="50"/>
      <c r="D86" s="1">
        <f>D79/$D81</f>
        <v>0</v>
      </c>
      <c r="E86" s="1">
        <f>E79/$D81</f>
        <v>0</v>
      </c>
      <c r="F86" s="1">
        <f>F79/$D81</f>
        <v>0</v>
      </c>
      <c r="G86" s="1">
        <f>G79/$D81</f>
        <v>1</v>
      </c>
      <c r="X86" s="51"/>
    </row>
    <row r="87" spans="1:24" ht="15.75" thickBot="1" x14ac:dyDescent="0.3">
      <c r="A87" s="52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40"/>
    </row>
    <row r="88" spans="1:24" x14ac:dyDescent="0.25"/>
    <row r="89" spans="1:24" x14ac:dyDescent="0.25"/>
  </sheetData>
  <mergeCells count="6">
    <mergeCell ref="A1:X1"/>
    <mergeCell ref="B71:C71"/>
    <mergeCell ref="B76:C76"/>
    <mergeCell ref="B81:C81"/>
    <mergeCell ref="B83:C83"/>
    <mergeCell ref="B33:G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inor_4x4">
                <anchor moveWithCells="1" sizeWithCells="1">
                  <from>
                    <xdr:col>19</xdr:col>
                    <xdr:colOff>600075</xdr:colOff>
                    <xdr:row>8</xdr:row>
                    <xdr:rowOff>0</xdr:rowOff>
                  </from>
                  <to>
                    <xdr:col>23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setAllMatrices">
                <anchor moveWithCells="1" sizeWithCells="1">
                  <from>
                    <xdr:col>20</xdr:col>
                    <xdr:colOff>9525</xdr:colOff>
                    <xdr:row>12</xdr:row>
                    <xdr:rowOff>0</xdr:rowOff>
                  </from>
                  <to>
                    <xdr:col>23</xdr:col>
                    <xdr:colOff>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99FEE-D142-4E92-8FC3-E1932D99A78A}">
  <sheetPr codeName="Sheet4"/>
  <dimension ref="A1:AE173"/>
  <sheetViews>
    <sheetView topLeftCell="A14" zoomScale="79" zoomScaleNormal="100" workbookViewId="0">
      <selection activeCell="A174" sqref="A174:XFD1048576"/>
    </sheetView>
  </sheetViews>
  <sheetFormatPr defaultColWidth="0" defaultRowHeight="15" zeroHeight="1" x14ac:dyDescent="0.25"/>
  <cols>
    <col min="1" max="10" width="9.140625" customWidth="1"/>
    <col min="11" max="11" width="8.7109375" customWidth="1"/>
    <col min="12" max="27" width="9.140625" customWidth="1"/>
    <col min="28" max="31" width="0" hidden="1" customWidth="1"/>
    <col min="32" max="16384" width="9.140625" hidden="1"/>
  </cols>
  <sheetData>
    <row r="1" spans="1:26" ht="35.25" thickBot="1" x14ac:dyDescent="0.6">
      <c r="B1" s="387" t="s">
        <v>28</v>
      </c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9"/>
    </row>
    <row r="2" spans="1:26" ht="19.5" customHeight="1" thickBot="1" x14ac:dyDescent="0.6">
      <c r="A2" s="20"/>
      <c r="B2" s="47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9"/>
    </row>
    <row r="3" spans="1:26" ht="19.5" customHeight="1" thickBot="1" x14ac:dyDescent="0.6">
      <c r="A3" s="20"/>
      <c r="B3" s="50"/>
      <c r="J3" s="413" t="s">
        <v>253</v>
      </c>
      <c r="K3" s="414"/>
      <c r="L3" s="414"/>
      <c r="M3" s="414"/>
      <c r="N3" s="414"/>
      <c r="O3" s="414"/>
      <c r="P3" s="414"/>
      <c r="Q3" s="415"/>
      <c r="Z3" s="51"/>
    </row>
    <row r="4" spans="1:26" ht="19.5" customHeight="1" x14ac:dyDescent="0.55000000000000004">
      <c r="A4" s="20"/>
      <c r="B4" s="50"/>
      <c r="J4" s="416" t="s">
        <v>265</v>
      </c>
      <c r="K4" s="417"/>
      <c r="L4" s="417"/>
      <c r="M4" s="417"/>
      <c r="N4" s="417"/>
      <c r="O4" s="417"/>
      <c r="P4" s="417"/>
      <c r="Q4" s="418"/>
      <c r="Z4" s="51"/>
    </row>
    <row r="5" spans="1:26" ht="18" customHeight="1" thickBot="1" x14ac:dyDescent="0.6">
      <c r="A5" s="20"/>
      <c r="B5" s="50"/>
      <c r="J5" s="419" t="s">
        <v>345</v>
      </c>
      <c r="K5" s="420"/>
      <c r="L5" s="420"/>
      <c r="M5" s="420"/>
      <c r="N5" s="420"/>
      <c r="O5" s="420"/>
      <c r="P5" s="420"/>
      <c r="Q5" s="421"/>
      <c r="Z5" s="51"/>
    </row>
    <row r="6" spans="1:26" ht="15.75" thickBot="1" x14ac:dyDescent="0.3">
      <c r="B6" s="52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40"/>
    </row>
    <row r="7" spans="1:26" ht="32.25" thickBot="1" x14ac:dyDescent="0.55000000000000004">
      <c r="B7" s="390" t="s">
        <v>45</v>
      </c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2"/>
    </row>
    <row r="8" spans="1:26" ht="15.75" thickBot="1" x14ac:dyDescent="0.3">
      <c r="A8" s="50"/>
      <c r="B8" s="47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9"/>
    </row>
    <row r="9" spans="1:26" ht="15.75" thickBot="1" x14ac:dyDescent="0.3">
      <c r="A9" s="50"/>
      <c r="B9" s="50"/>
      <c r="H9" s="404" t="s">
        <v>357</v>
      </c>
      <c r="I9" s="405"/>
      <c r="J9" s="173" t="s">
        <v>29</v>
      </c>
      <c r="K9" s="71">
        <v>1</v>
      </c>
      <c r="L9" s="71" t="s">
        <v>30</v>
      </c>
      <c r="M9" s="71" t="s">
        <v>41</v>
      </c>
      <c r="N9" s="71">
        <v>5</v>
      </c>
      <c r="O9" s="71" t="s">
        <v>31</v>
      </c>
      <c r="P9" s="71" t="s">
        <v>32</v>
      </c>
      <c r="Q9" s="72">
        <v>20</v>
      </c>
      <c r="Z9" s="51"/>
    </row>
    <row r="10" spans="1:26" ht="15.75" thickBot="1" x14ac:dyDescent="0.3">
      <c r="A10" s="50"/>
      <c r="B10" s="50"/>
      <c r="H10" s="408"/>
      <c r="I10" s="409"/>
      <c r="J10" s="173" t="s">
        <v>33</v>
      </c>
      <c r="K10" s="71">
        <v>1</v>
      </c>
      <c r="L10" s="71" t="str">
        <f>L9</f>
        <v>x</v>
      </c>
      <c r="M10" s="71" t="s">
        <v>41</v>
      </c>
      <c r="N10" s="71">
        <v>-1</v>
      </c>
      <c r="O10" s="71" t="str">
        <f>O9</f>
        <v>y</v>
      </c>
      <c r="P10" s="71" t="s">
        <v>32</v>
      </c>
      <c r="Q10" s="72">
        <v>8</v>
      </c>
      <c r="Z10" s="51"/>
    </row>
    <row r="11" spans="1:26" x14ac:dyDescent="0.25">
      <c r="B11" s="50"/>
      <c r="Z11" s="51"/>
    </row>
    <row r="12" spans="1:26" ht="15.75" thickBot="1" x14ac:dyDescent="0.3">
      <c r="B12" s="50"/>
      <c r="K12" t="s">
        <v>237</v>
      </c>
      <c r="O12" t="s">
        <v>138</v>
      </c>
      <c r="Z12" s="51"/>
    </row>
    <row r="13" spans="1:26" x14ac:dyDescent="0.25">
      <c r="B13" s="50"/>
      <c r="J13" s="54" t="s">
        <v>44</v>
      </c>
      <c r="K13" s="75" t="str">
        <f>L9</f>
        <v>x</v>
      </c>
      <c r="L13" s="15" t="s">
        <v>32</v>
      </c>
      <c r="M13" s="16">
        <f>J32</f>
        <v>10</v>
      </c>
      <c r="N13" s="54" t="s">
        <v>44</v>
      </c>
      <c r="O13" s="75" t="str">
        <f t="shared" ref="O13:Q14" si="0">P32</f>
        <v>x</v>
      </c>
      <c r="P13" s="15" t="str">
        <f t="shared" si="0"/>
        <v>=</v>
      </c>
      <c r="Q13" s="16">
        <f t="shared" si="0"/>
        <v>10</v>
      </c>
      <c r="Z13" s="51"/>
    </row>
    <row r="14" spans="1:26" ht="16.5" thickBot="1" x14ac:dyDescent="0.3">
      <c r="B14" s="50"/>
      <c r="D14" s="257"/>
      <c r="K14" s="76" t="str">
        <f>O9</f>
        <v>y</v>
      </c>
      <c r="L14" s="18" t="s">
        <v>32</v>
      </c>
      <c r="M14" s="19">
        <f>J33</f>
        <v>2</v>
      </c>
      <c r="O14" s="76" t="str">
        <f t="shared" si="0"/>
        <v>y</v>
      </c>
      <c r="P14" s="18" t="str">
        <f t="shared" si="0"/>
        <v>=</v>
      </c>
      <c r="Q14" s="19">
        <f t="shared" si="0"/>
        <v>2</v>
      </c>
      <c r="Z14" s="51"/>
    </row>
    <row r="15" spans="1:26" x14ac:dyDescent="0.25">
      <c r="A15" s="50"/>
      <c r="B15" s="50"/>
      <c r="Z15" s="51"/>
    </row>
    <row r="16" spans="1:26" ht="19.5" x14ac:dyDescent="0.3">
      <c r="A16" s="50"/>
      <c r="B16" s="393" t="s">
        <v>266</v>
      </c>
      <c r="C16" s="394"/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395"/>
    </row>
    <row r="17" spans="1:26" ht="15.75" thickBot="1" x14ac:dyDescent="0.3">
      <c r="A17" s="50"/>
      <c r="B17" s="50"/>
      <c r="Z17" s="51"/>
    </row>
    <row r="18" spans="1:26" ht="15.75" thickBot="1" x14ac:dyDescent="0.3">
      <c r="A18" s="50"/>
      <c r="B18" s="50"/>
      <c r="K18" s="423" t="s">
        <v>34</v>
      </c>
      <c r="L18" s="424"/>
      <c r="M18" s="174" t="s">
        <v>36</v>
      </c>
      <c r="N18" s="174" t="s">
        <v>30</v>
      </c>
      <c r="O18" s="174" t="s">
        <v>32</v>
      </c>
      <c r="P18" s="175" t="s">
        <v>35</v>
      </c>
      <c r="Z18" s="51"/>
    </row>
    <row r="19" spans="1:26" ht="15.75" thickBot="1" x14ac:dyDescent="0.3">
      <c r="A19" s="50"/>
      <c r="B19" s="50"/>
      <c r="K19" s="2"/>
      <c r="N19" s="2"/>
      <c r="O19" s="2"/>
      <c r="P19" s="2"/>
      <c r="Z19" s="51"/>
    </row>
    <row r="20" spans="1:26" x14ac:dyDescent="0.25">
      <c r="A20" s="50"/>
      <c r="B20" s="50"/>
      <c r="K20" s="59">
        <f>K9</f>
        <v>1</v>
      </c>
      <c r="L20" s="60">
        <f>N9</f>
        <v>5</v>
      </c>
      <c r="M20" s="426" t="s">
        <v>36</v>
      </c>
      <c r="N20" s="73" t="str">
        <f>L9</f>
        <v>x</v>
      </c>
      <c r="O20" s="403" t="s">
        <v>32</v>
      </c>
      <c r="P20" s="73">
        <f>Q9</f>
        <v>20</v>
      </c>
      <c r="Z20" s="51"/>
    </row>
    <row r="21" spans="1:26" ht="15.75" thickBot="1" x14ac:dyDescent="0.3">
      <c r="A21" s="50"/>
      <c r="B21" s="50"/>
      <c r="K21" s="61">
        <f>K10</f>
        <v>1</v>
      </c>
      <c r="L21" s="62">
        <f>N10</f>
        <v>-1</v>
      </c>
      <c r="M21" s="426"/>
      <c r="N21" s="74" t="str">
        <f>O9</f>
        <v>y</v>
      </c>
      <c r="O21" s="403"/>
      <c r="P21" s="74">
        <f>Q10</f>
        <v>8</v>
      </c>
      <c r="Z21" s="51"/>
    </row>
    <row r="22" spans="1:26" x14ac:dyDescent="0.25">
      <c r="A22" s="50"/>
      <c r="B22" s="50"/>
      <c r="Z22" s="51"/>
    </row>
    <row r="23" spans="1:26" x14ac:dyDescent="0.25">
      <c r="A23" s="50"/>
      <c r="B23" s="50"/>
      <c r="Z23" s="51"/>
    </row>
    <row r="24" spans="1:26" ht="19.5" x14ac:dyDescent="0.3">
      <c r="A24" s="50"/>
      <c r="B24" s="50"/>
      <c r="G24" s="399" t="s">
        <v>37</v>
      </c>
      <c r="H24" s="399"/>
      <c r="I24" s="399"/>
      <c r="J24" s="399"/>
      <c r="K24" s="399"/>
      <c r="L24" s="399"/>
      <c r="O24" s="399" t="s">
        <v>38</v>
      </c>
      <c r="P24" s="399"/>
      <c r="Q24" s="399"/>
      <c r="R24" s="399"/>
      <c r="S24" s="399"/>
      <c r="T24" s="399"/>
      <c r="Z24" s="51"/>
    </row>
    <row r="25" spans="1:26" ht="15.75" thickBot="1" x14ac:dyDescent="0.3">
      <c r="A25" s="50"/>
      <c r="B25" s="50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Z25" s="51"/>
    </row>
    <row r="26" spans="1:26" x14ac:dyDescent="0.25">
      <c r="A26" s="50"/>
      <c r="B26" s="50"/>
      <c r="H26" s="33">
        <f>K20</f>
        <v>1</v>
      </c>
      <c r="I26" s="34">
        <f>L20</f>
        <v>5</v>
      </c>
      <c r="J26" s="34" t="s">
        <v>39</v>
      </c>
      <c r="K26" s="41">
        <f>P20</f>
        <v>20</v>
      </c>
      <c r="L26" s="2"/>
      <c r="M26" s="2"/>
      <c r="N26" s="2"/>
      <c r="O26" s="2"/>
      <c r="P26" s="33">
        <f>K20</f>
        <v>1</v>
      </c>
      <c r="Q26" s="34">
        <f>L20</f>
        <v>5</v>
      </c>
      <c r="R26" s="34" t="s">
        <v>39</v>
      </c>
      <c r="S26" s="41">
        <f>P20</f>
        <v>20</v>
      </c>
      <c r="Z26" s="51"/>
    </row>
    <row r="27" spans="1:26" ht="15.75" thickBot="1" x14ac:dyDescent="0.3">
      <c r="A27" s="50"/>
      <c r="B27" s="50"/>
      <c r="H27" s="37">
        <f>K21</f>
        <v>1</v>
      </c>
      <c r="I27" s="38">
        <f>L21</f>
        <v>-1</v>
      </c>
      <c r="J27" s="38" t="s">
        <v>39</v>
      </c>
      <c r="K27" s="43">
        <f>P21</f>
        <v>8</v>
      </c>
      <c r="L27" s="2"/>
      <c r="M27" s="2"/>
      <c r="N27" s="2"/>
      <c r="O27" s="2"/>
      <c r="P27" s="37">
        <f>K21</f>
        <v>1</v>
      </c>
      <c r="Q27" s="38">
        <f>L21</f>
        <v>-1</v>
      </c>
      <c r="R27" s="38" t="s">
        <v>39</v>
      </c>
      <c r="S27" s="43">
        <f>P21</f>
        <v>8</v>
      </c>
      <c r="Z27" s="51"/>
    </row>
    <row r="28" spans="1:26" ht="15.75" thickBot="1" x14ac:dyDescent="0.3">
      <c r="A28" s="50"/>
      <c r="B28" s="50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Z28" s="51"/>
    </row>
    <row r="29" spans="1:26" ht="15.75" thickBot="1" x14ac:dyDescent="0.3">
      <c r="A29" s="50"/>
      <c r="B29" s="50"/>
      <c r="H29" s="33">
        <f>H26-(($I26/$I27)*H27)</f>
        <v>6</v>
      </c>
      <c r="I29" s="77">
        <f>I26-(($I26/$I27)*I27)</f>
        <v>0</v>
      </c>
      <c r="J29" s="34" t="str">
        <f>J26</f>
        <v>\\</v>
      </c>
      <c r="K29" s="41">
        <f>K26-(($I26/$I27)*K27)</f>
        <v>60</v>
      </c>
      <c r="L29" s="2"/>
      <c r="M29" s="2"/>
      <c r="N29" s="2"/>
      <c r="O29" s="2"/>
      <c r="P29" s="33">
        <f>P26</f>
        <v>1</v>
      </c>
      <c r="Q29" s="34">
        <f>Q26</f>
        <v>5</v>
      </c>
      <c r="R29" s="34" t="s">
        <v>39</v>
      </c>
      <c r="S29" s="41">
        <f>S26</f>
        <v>20</v>
      </c>
      <c r="Z29" s="51"/>
    </row>
    <row r="30" spans="1:26" ht="15.75" thickBot="1" x14ac:dyDescent="0.3">
      <c r="A30" s="50"/>
      <c r="B30" s="50"/>
      <c r="H30" s="37">
        <f>H27</f>
        <v>1</v>
      </c>
      <c r="I30" s="38">
        <f>I27</f>
        <v>-1</v>
      </c>
      <c r="J30" s="38" t="str">
        <f>J27</f>
        <v>\\</v>
      </c>
      <c r="K30" s="43">
        <f>K27</f>
        <v>8</v>
      </c>
      <c r="L30" s="2"/>
      <c r="M30" s="2"/>
      <c r="N30" s="2"/>
      <c r="O30" s="2"/>
      <c r="P30" s="77">
        <f>P27-(($P27/$P26)*P26)</f>
        <v>0</v>
      </c>
      <c r="Q30" s="38">
        <f>Q27-(($P27/$P26)*Q26)</f>
        <v>-6</v>
      </c>
      <c r="R30" s="38" t="s">
        <v>39</v>
      </c>
      <c r="S30" s="43">
        <f>S27-(($P27/$P26)*S26)</f>
        <v>-12</v>
      </c>
      <c r="Z30" s="51"/>
    </row>
    <row r="31" spans="1:26" ht="15.75" thickBot="1" x14ac:dyDescent="0.3">
      <c r="A31" s="50"/>
      <c r="B31" s="50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Z31" s="51"/>
    </row>
    <row r="32" spans="1:26" x14ac:dyDescent="0.25">
      <c r="A32" s="50"/>
      <c r="B32" s="50"/>
      <c r="G32" s="2"/>
      <c r="H32" s="14" t="str">
        <f>L9</f>
        <v>x</v>
      </c>
      <c r="I32" s="15" t="s">
        <v>32</v>
      </c>
      <c r="J32" s="16">
        <f>K29/H29</f>
        <v>10</v>
      </c>
      <c r="K32" s="2"/>
      <c r="L32" s="2"/>
      <c r="M32" s="2"/>
      <c r="N32" s="2"/>
      <c r="O32" s="2"/>
      <c r="P32" s="14" t="str">
        <f>L9</f>
        <v>x</v>
      </c>
      <c r="Q32" s="15" t="s">
        <v>32</v>
      </c>
      <c r="R32" s="16">
        <f>(S29-(Q29*R33))/P29</f>
        <v>10</v>
      </c>
      <c r="S32" s="2"/>
      <c r="Z32" s="51"/>
    </row>
    <row r="33" spans="1:26" ht="15.75" thickBot="1" x14ac:dyDescent="0.3">
      <c r="A33" s="50"/>
      <c r="B33" s="50"/>
      <c r="G33" s="2"/>
      <c r="H33" s="17" t="str">
        <f>O9</f>
        <v>y</v>
      </c>
      <c r="I33" s="18" t="s">
        <v>32</v>
      </c>
      <c r="J33" s="19">
        <f>(K30-(H30*J32))/I30</f>
        <v>2</v>
      </c>
      <c r="K33" s="2"/>
      <c r="L33" s="2"/>
      <c r="M33" s="2"/>
      <c r="N33" s="2"/>
      <c r="O33" s="2"/>
      <c r="P33" s="17" t="str">
        <f>O9</f>
        <v>y</v>
      </c>
      <c r="Q33" s="18" t="s">
        <v>32</v>
      </c>
      <c r="R33" s="19">
        <f>S30/Q30</f>
        <v>2</v>
      </c>
      <c r="S33" s="2"/>
      <c r="Z33" s="51"/>
    </row>
    <row r="34" spans="1:26" x14ac:dyDescent="0.25">
      <c r="A34" s="50"/>
      <c r="B34" s="50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Z34" s="51"/>
    </row>
    <row r="35" spans="1:26" x14ac:dyDescent="0.25">
      <c r="A35" s="50"/>
      <c r="B35" s="50"/>
      <c r="Z35" s="51"/>
    </row>
    <row r="36" spans="1:26" ht="15.75" thickBot="1" x14ac:dyDescent="0.3">
      <c r="B36" s="52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40"/>
    </row>
    <row r="37" spans="1:26" ht="32.25" thickBot="1" x14ac:dyDescent="0.55000000000000004">
      <c r="B37" s="390" t="s">
        <v>40</v>
      </c>
      <c r="C37" s="391"/>
      <c r="D37" s="391"/>
      <c r="E37" s="391"/>
      <c r="F37" s="391"/>
      <c r="G37" s="391"/>
      <c r="H37" s="391"/>
      <c r="I37" s="391"/>
      <c r="J37" s="391"/>
      <c r="K37" s="391"/>
      <c r="L37" s="391"/>
      <c r="M37" s="391"/>
      <c r="N37" s="391"/>
      <c r="O37" s="391"/>
      <c r="P37" s="391"/>
      <c r="Q37" s="391"/>
      <c r="R37" s="391"/>
      <c r="S37" s="391"/>
      <c r="T37" s="391"/>
      <c r="U37" s="391"/>
      <c r="V37" s="391"/>
      <c r="W37" s="391"/>
      <c r="X37" s="391"/>
      <c r="Y37" s="391"/>
      <c r="Z37" s="392"/>
    </row>
    <row r="38" spans="1:26" ht="15.75" thickBot="1" x14ac:dyDescent="0.3">
      <c r="B38" s="47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9"/>
    </row>
    <row r="39" spans="1:26" ht="15.75" customHeight="1" thickBot="1" x14ac:dyDescent="0.3">
      <c r="B39" s="50"/>
      <c r="F39" s="404" t="s">
        <v>357</v>
      </c>
      <c r="G39" s="405"/>
      <c r="H39" s="143" t="s">
        <v>29</v>
      </c>
      <c r="I39" s="141">
        <v>0</v>
      </c>
      <c r="J39" s="141" t="s">
        <v>127</v>
      </c>
      <c r="K39" s="141" t="s">
        <v>41</v>
      </c>
      <c r="L39" s="141">
        <v>-1</v>
      </c>
      <c r="M39" s="141" t="s">
        <v>128</v>
      </c>
      <c r="N39" s="141" t="s">
        <v>41</v>
      </c>
      <c r="O39" s="141">
        <v>2</v>
      </c>
      <c r="P39" s="141" t="s">
        <v>129</v>
      </c>
      <c r="Q39" s="141" t="s">
        <v>32</v>
      </c>
      <c r="R39" s="142">
        <v>15</v>
      </c>
      <c r="Z39" s="51"/>
    </row>
    <row r="40" spans="1:26" ht="15.75" customHeight="1" thickBot="1" x14ac:dyDescent="0.3">
      <c r="B40" s="50"/>
      <c r="F40" s="406"/>
      <c r="G40" s="407"/>
      <c r="H40" s="143" t="s">
        <v>33</v>
      </c>
      <c r="I40" s="141">
        <v>1</v>
      </c>
      <c r="J40" s="141" t="str">
        <f>J39</f>
        <v>a</v>
      </c>
      <c r="K40" s="141" t="s">
        <v>41</v>
      </c>
      <c r="L40" s="141">
        <v>2</v>
      </c>
      <c r="M40" s="141" t="str">
        <f>M39</f>
        <v>b</v>
      </c>
      <c r="N40" s="141" t="s">
        <v>41</v>
      </c>
      <c r="O40" s="141">
        <v>3</v>
      </c>
      <c r="P40" s="141" t="str">
        <f>P39</f>
        <v>c</v>
      </c>
      <c r="Q40" s="141" t="s">
        <v>32</v>
      </c>
      <c r="R40" s="142">
        <v>5</v>
      </c>
      <c r="Z40" s="51"/>
    </row>
    <row r="41" spans="1:26" ht="15.75" thickBot="1" x14ac:dyDescent="0.3">
      <c r="B41" s="50"/>
      <c r="F41" s="408"/>
      <c r="G41" s="409"/>
      <c r="H41" s="143" t="s">
        <v>42</v>
      </c>
      <c r="I41" s="141">
        <v>0</v>
      </c>
      <c r="J41" s="141" t="str">
        <f>J39</f>
        <v>a</v>
      </c>
      <c r="K41" s="141" t="s">
        <v>41</v>
      </c>
      <c r="L41" s="141">
        <v>-7</v>
      </c>
      <c r="M41" s="141" t="str">
        <f>M39</f>
        <v>b</v>
      </c>
      <c r="N41" s="141" t="s">
        <v>41</v>
      </c>
      <c r="O41" s="141">
        <v>9</v>
      </c>
      <c r="P41" s="141" t="str">
        <f>P40</f>
        <v>c</v>
      </c>
      <c r="Q41" s="141" t="s">
        <v>32</v>
      </c>
      <c r="R41" s="142">
        <v>8</v>
      </c>
      <c r="Z41" s="51"/>
    </row>
    <row r="42" spans="1:26" x14ac:dyDescent="0.25">
      <c r="B42" s="50"/>
      <c r="Z42" s="51"/>
    </row>
    <row r="43" spans="1:26" x14ac:dyDescent="0.25">
      <c r="B43" s="50"/>
      <c r="Z43" s="51"/>
    </row>
    <row r="44" spans="1:26" ht="15.75" thickBot="1" x14ac:dyDescent="0.3">
      <c r="B44" s="50"/>
      <c r="I44" s="115" t="s">
        <v>138</v>
      </c>
      <c r="P44" t="s">
        <v>237</v>
      </c>
      <c r="Z44" s="51"/>
    </row>
    <row r="45" spans="1:26" x14ac:dyDescent="0.25">
      <c r="B45" s="50"/>
      <c r="H45" s="54" t="s">
        <v>44</v>
      </c>
      <c r="I45" s="14" t="str">
        <f>J39</f>
        <v>a</v>
      </c>
      <c r="J45" s="15" t="s">
        <v>32</v>
      </c>
      <c r="K45" s="16">
        <f>D93</f>
        <v>-100.79999999999998</v>
      </c>
      <c r="O45" s="54" t="s">
        <v>44</v>
      </c>
      <c r="P45" s="14" t="str">
        <f t="shared" ref="P45:R47" si="1">O91</f>
        <v>a</v>
      </c>
      <c r="Q45" s="15" t="str">
        <f t="shared" si="1"/>
        <v>=</v>
      </c>
      <c r="R45" s="16">
        <f t="shared" si="1"/>
        <v>-100.80000000000003</v>
      </c>
      <c r="Z45" s="51"/>
    </row>
    <row r="46" spans="1:26" x14ac:dyDescent="0.25">
      <c r="B46" s="50"/>
      <c r="I46" s="27" t="str">
        <f>M39</f>
        <v>b</v>
      </c>
      <c r="J46" s="26" t="s">
        <v>32</v>
      </c>
      <c r="K46" s="28">
        <f>D92</f>
        <v>23.799999999999997</v>
      </c>
      <c r="P46" s="27" t="str">
        <f t="shared" si="1"/>
        <v>b</v>
      </c>
      <c r="Q46" s="26" t="str">
        <f t="shared" si="1"/>
        <v>=</v>
      </c>
      <c r="R46" s="28">
        <f t="shared" si="1"/>
        <v>23.800000000000008</v>
      </c>
      <c r="Z46" s="51"/>
    </row>
    <row r="47" spans="1:26" ht="15.75" thickBot="1" x14ac:dyDescent="0.3">
      <c r="B47" s="50"/>
      <c r="I47" s="17" t="str">
        <f>P39</f>
        <v>c</v>
      </c>
      <c r="J47" s="18" t="s">
        <v>32</v>
      </c>
      <c r="K47" s="19">
        <f>D91</f>
        <v>19.399999999999999</v>
      </c>
      <c r="P47" s="17" t="str">
        <f t="shared" si="1"/>
        <v>c</v>
      </c>
      <c r="Q47" s="18" t="str">
        <f t="shared" si="1"/>
        <v>=</v>
      </c>
      <c r="R47" s="19">
        <f t="shared" si="1"/>
        <v>19.400000000000006</v>
      </c>
      <c r="Z47" s="51"/>
    </row>
    <row r="48" spans="1:26" x14ac:dyDescent="0.25">
      <c r="B48" s="50"/>
      <c r="Z48" s="51"/>
    </row>
    <row r="49" spans="2:26" ht="21.75" x14ac:dyDescent="0.35">
      <c r="B49" s="396" t="s">
        <v>267</v>
      </c>
      <c r="C49" s="397"/>
      <c r="D49" s="397"/>
      <c r="E49" s="397"/>
      <c r="F49" s="397"/>
      <c r="G49" s="397"/>
      <c r="H49" s="397"/>
      <c r="I49" s="397"/>
      <c r="J49" s="397"/>
      <c r="K49" s="397"/>
      <c r="L49" s="397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8"/>
    </row>
    <row r="50" spans="2:26" ht="15.75" thickBot="1" x14ac:dyDescent="0.3">
      <c r="B50" s="50"/>
      <c r="Z50" s="51"/>
    </row>
    <row r="51" spans="2:26" ht="15.75" thickBot="1" x14ac:dyDescent="0.3">
      <c r="B51" s="50"/>
      <c r="J51" s="180"/>
      <c r="K51" s="181" t="s">
        <v>34</v>
      </c>
      <c r="L51" s="182"/>
      <c r="M51" s="181" t="s">
        <v>36</v>
      </c>
      <c r="N51" s="183" t="s">
        <v>30</v>
      </c>
      <c r="O51" s="181" t="s">
        <v>32</v>
      </c>
      <c r="P51" s="183" t="s">
        <v>35</v>
      </c>
      <c r="Z51" s="51"/>
    </row>
    <row r="52" spans="2:26" x14ac:dyDescent="0.25">
      <c r="B52" s="50"/>
      <c r="J52" s="176">
        <f>I39</f>
        <v>0</v>
      </c>
      <c r="K52" s="177">
        <f>L39</f>
        <v>-1</v>
      </c>
      <c r="L52" s="178">
        <f>O39</f>
        <v>2</v>
      </c>
      <c r="M52" s="400" t="s">
        <v>236</v>
      </c>
      <c r="N52" s="179" t="str">
        <f>J39</f>
        <v>a</v>
      </c>
      <c r="O52" s="400" t="s">
        <v>32</v>
      </c>
      <c r="P52" s="179">
        <f>R39</f>
        <v>15</v>
      </c>
      <c r="Z52" s="51"/>
    </row>
    <row r="53" spans="2:26" x14ac:dyDescent="0.25">
      <c r="B53" s="50"/>
      <c r="J53" s="10">
        <f>I40</f>
        <v>1</v>
      </c>
      <c r="K53" s="85">
        <f>L40</f>
        <v>2</v>
      </c>
      <c r="L53" s="11">
        <f>O40</f>
        <v>3</v>
      </c>
      <c r="M53" s="401"/>
      <c r="N53" s="13" t="str">
        <f>M39</f>
        <v>b</v>
      </c>
      <c r="O53" s="401"/>
      <c r="P53" s="13">
        <f>R40</f>
        <v>5</v>
      </c>
      <c r="Z53" s="51"/>
    </row>
    <row r="54" spans="2:26" ht="15.75" thickBot="1" x14ac:dyDescent="0.3">
      <c r="B54" s="50"/>
      <c r="J54" s="7">
        <f>I41</f>
        <v>0</v>
      </c>
      <c r="K54" s="12">
        <f>L41</f>
        <v>-7</v>
      </c>
      <c r="L54" s="8">
        <f>O41</f>
        <v>9</v>
      </c>
      <c r="M54" s="402"/>
      <c r="N54" s="5" t="str">
        <f>P39</f>
        <v>c</v>
      </c>
      <c r="O54" s="402"/>
      <c r="P54" s="5">
        <f>R41</f>
        <v>8</v>
      </c>
      <c r="Z54" s="51"/>
    </row>
    <row r="55" spans="2:26" x14ac:dyDescent="0.25">
      <c r="B55" s="50"/>
      <c r="Z55" s="51"/>
    </row>
    <row r="56" spans="2:26" x14ac:dyDescent="0.25">
      <c r="B56" s="50"/>
      <c r="Z56" s="51"/>
    </row>
    <row r="57" spans="2:26" ht="24" x14ac:dyDescent="0.4">
      <c r="B57" s="410" t="s">
        <v>48</v>
      </c>
      <c r="C57" s="411"/>
      <c r="D57" s="411"/>
      <c r="E57" s="411"/>
      <c r="F57" s="411"/>
      <c r="G57" s="411"/>
      <c r="H57" s="411"/>
      <c r="I57" s="411"/>
      <c r="O57" s="411" t="s">
        <v>68</v>
      </c>
      <c r="P57" s="411"/>
      <c r="Q57" s="411"/>
      <c r="R57" s="411"/>
      <c r="S57" s="411"/>
      <c r="T57" s="411"/>
      <c r="U57" s="411"/>
      <c r="V57" s="411"/>
      <c r="Z57" s="51"/>
    </row>
    <row r="58" spans="2:26" x14ac:dyDescent="0.25">
      <c r="B58" s="50"/>
      <c r="Z58" s="51"/>
    </row>
    <row r="59" spans="2:26" ht="15.75" thickBot="1" x14ac:dyDescent="0.3">
      <c r="B59" s="50"/>
      <c r="Z59" s="51"/>
    </row>
    <row r="60" spans="2:26" ht="15.75" thickBot="1" x14ac:dyDescent="0.3">
      <c r="B60" s="79">
        <f t="shared" ref="B60:D62" si="2">J52</f>
        <v>0</v>
      </c>
      <c r="C60" s="22">
        <f t="shared" si="2"/>
        <v>-1</v>
      </c>
      <c r="D60" s="22">
        <f t="shared" si="2"/>
        <v>2</v>
      </c>
      <c r="E60" s="22" t="s">
        <v>39</v>
      </c>
      <c r="F60" s="29">
        <f>P52</f>
        <v>15</v>
      </c>
      <c r="G60" s="169" t="s">
        <v>49</v>
      </c>
      <c r="H60" s="117" t="s">
        <v>47</v>
      </c>
      <c r="I60" s="117"/>
      <c r="J60" s="117"/>
      <c r="K60" s="117"/>
      <c r="L60" s="117"/>
      <c r="O60" s="81">
        <f t="shared" ref="O60:Q62" si="3">J52</f>
        <v>0</v>
      </c>
      <c r="P60" s="154">
        <f t="shared" si="3"/>
        <v>-1</v>
      </c>
      <c r="Q60" s="155">
        <f t="shared" si="3"/>
        <v>2</v>
      </c>
      <c r="R60" s="22" t="s">
        <v>39</v>
      </c>
      <c r="S60" s="159">
        <f>P52</f>
        <v>15</v>
      </c>
      <c r="T60" s="170" t="s">
        <v>49</v>
      </c>
      <c r="U60" s="117" t="s">
        <v>47</v>
      </c>
      <c r="V60" s="117"/>
      <c r="W60" s="117"/>
      <c r="X60" s="117"/>
      <c r="Y60" s="117"/>
      <c r="Z60" s="51"/>
    </row>
    <row r="61" spans="2:26" ht="15.75" thickBot="1" x14ac:dyDescent="0.3">
      <c r="B61" s="154">
        <f t="shared" si="2"/>
        <v>1</v>
      </c>
      <c r="C61" s="80">
        <f t="shared" si="2"/>
        <v>2</v>
      </c>
      <c r="D61" s="21">
        <f t="shared" si="2"/>
        <v>3</v>
      </c>
      <c r="E61" s="21" t="s">
        <v>39</v>
      </c>
      <c r="F61" s="30">
        <f>P53</f>
        <v>5</v>
      </c>
      <c r="G61" s="119"/>
      <c r="H61" s="117"/>
      <c r="I61" s="117"/>
      <c r="J61" s="117"/>
      <c r="K61" s="117"/>
      <c r="L61" s="117"/>
      <c r="O61" s="32">
        <f t="shared" si="3"/>
        <v>1</v>
      </c>
      <c r="P61" s="83">
        <f t="shared" si="3"/>
        <v>2</v>
      </c>
      <c r="Q61" s="155">
        <f t="shared" si="3"/>
        <v>3</v>
      </c>
      <c r="R61" s="21" t="s">
        <v>39</v>
      </c>
      <c r="S61" s="160">
        <f>P53</f>
        <v>5</v>
      </c>
      <c r="T61" s="117"/>
      <c r="U61" s="117"/>
      <c r="V61" s="117"/>
      <c r="W61" s="117"/>
      <c r="X61" s="117"/>
      <c r="Y61" s="117"/>
      <c r="Z61" s="51"/>
    </row>
    <row r="62" spans="2:26" ht="15.75" thickBot="1" x14ac:dyDescent="0.3">
      <c r="B62" s="154">
        <f t="shared" si="2"/>
        <v>0</v>
      </c>
      <c r="C62" s="154">
        <f t="shared" si="2"/>
        <v>-7</v>
      </c>
      <c r="D62" s="78">
        <f t="shared" si="2"/>
        <v>9</v>
      </c>
      <c r="E62" s="23" t="s">
        <v>39</v>
      </c>
      <c r="F62" s="31">
        <f>P54</f>
        <v>8</v>
      </c>
      <c r="G62" s="119"/>
      <c r="H62" s="117"/>
      <c r="I62" s="117"/>
      <c r="J62" s="117"/>
      <c r="K62" s="117"/>
      <c r="L62" s="117"/>
      <c r="O62" s="25">
        <f t="shared" si="3"/>
        <v>0</v>
      </c>
      <c r="P62" s="23">
        <f t="shared" si="3"/>
        <v>-7</v>
      </c>
      <c r="Q62" s="84">
        <f t="shared" si="3"/>
        <v>9</v>
      </c>
      <c r="R62" s="84" t="s">
        <v>39</v>
      </c>
      <c r="S62" s="31">
        <f>P54</f>
        <v>8</v>
      </c>
      <c r="T62" s="117"/>
      <c r="U62" s="117"/>
      <c r="V62" s="117"/>
      <c r="W62" s="117"/>
      <c r="X62" s="117"/>
      <c r="Y62" s="117"/>
      <c r="Z62" s="51"/>
    </row>
    <row r="63" spans="2:26" ht="15.75" thickBot="1" x14ac:dyDescent="0.3">
      <c r="B63" s="171"/>
      <c r="C63" s="24"/>
      <c r="D63" s="24"/>
      <c r="E63" s="24"/>
      <c r="F63" s="153"/>
      <c r="H63" s="117"/>
      <c r="I63" s="117"/>
      <c r="J63" s="117"/>
      <c r="K63" s="117"/>
      <c r="L63" s="117"/>
      <c r="O63" s="2"/>
      <c r="P63" s="2"/>
      <c r="Q63" s="2"/>
      <c r="S63" s="2"/>
      <c r="T63" s="117"/>
      <c r="U63" s="117"/>
      <c r="V63" s="117"/>
      <c r="W63" s="117"/>
      <c r="X63" s="117"/>
      <c r="Y63" s="117"/>
      <c r="Z63" s="51"/>
    </row>
    <row r="64" spans="2:26" ht="15.75" thickBot="1" x14ac:dyDescent="0.3">
      <c r="B64" s="79">
        <f>IF($B60=0,(IF($B61=0,IF($B62=0,FALSE,B62),B61)),B60)</f>
        <v>1</v>
      </c>
      <c r="C64" s="22">
        <f t="shared" ref="C64:F64" si="4">IF($B60=0,(IF($B61=0,IF($B62=0,FALSE,C62),C61)),C60)</f>
        <v>2</v>
      </c>
      <c r="D64" s="22">
        <f t="shared" si="4"/>
        <v>3</v>
      </c>
      <c r="E64" s="22" t="str">
        <f>E62</f>
        <v>\\</v>
      </c>
      <c r="F64" s="29">
        <f t="shared" si="4"/>
        <v>5</v>
      </c>
      <c r="G64" s="119" t="str">
        <f>G60</f>
        <v>&gt;&gt;&gt;&gt;&gt;&gt;&gt;</v>
      </c>
      <c r="H64" s="117" t="s">
        <v>46</v>
      </c>
      <c r="I64" s="117"/>
      <c r="J64" s="117"/>
      <c r="K64" s="117"/>
      <c r="L64" s="117"/>
      <c r="O64" s="81">
        <f t="shared" ref="O64:P64" si="5">IF($Q62=0,IF($Q61=0,IF($Q60=0, FALSE,O62),O60),O60)</f>
        <v>0</v>
      </c>
      <c r="P64" s="154">
        <f t="shared" si="5"/>
        <v>-1</v>
      </c>
      <c r="Q64" s="154">
        <f>IF($Q62=0,IF($Q61=0,IF($Q60=0, FALSE,Q62),Q60),Q60)</f>
        <v>2</v>
      </c>
      <c r="R64" s="161" t="s">
        <v>39</v>
      </c>
      <c r="S64" s="29">
        <f t="shared" ref="S64" si="6">IF($Q62=0,IF($Q61=0,IF($Q60=0, FALSE,S62),S60),S60)</f>
        <v>15</v>
      </c>
      <c r="T64" s="119" t="str">
        <f>T60</f>
        <v>&gt;&gt;&gt;&gt;&gt;&gt;&gt;</v>
      </c>
      <c r="U64" s="117" t="s">
        <v>60</v>
      </c>
      <c r="V64" s="117"/>
      <c r="W64" s="117"/>
      <c r="X64" s="117"/>
      <c r="Y64" s="117"/>
      <c r="Z64" s="51"/>
    </row>
    <row r="65" spans="2:26" ht="15.75" thickBot="1" x14ac:dyDescent="0.3">
      <c r="B65" s="154">
        <f>IF($B60=0,(IF($B61=0,IF($B62=0,FALSE,B61),B60)),B61)</f>
        <v>0</v>
      </c>
      <c r="C65" s="152">
        <f t="shared" ref="C65:F65" si="7">IF($B60=0,(IF($B61=0,IF($B62=0,FALSE,C61),C60)),C61)</f>
        <v>-1</v>
      </c>
      <c r="D65" s="32">
        <f t="shared" si="7"/>
        <v>2</v>
      </c>
      <c r="E65" s="32" t="str">
        <f>E62</f>
        <v>\\</v>
      </c>
      <c r="F65" s="32">
        <f t="shared" si="7"/>
        <v>15</v>
      </c>
      <c r="G65" s="119"/>
      <c r="H65" s="117"/>
      <c r="I65" s="117"/>
      <c r="J65" s="117"/>
      <c r="K65" s="117"/>
      <c r="O65" s="32">
        <f t="shared" ref="O65:P65" si="8">IF($Q62=0,IF($Q61=0,IF($Q60=0, FALSE,O61),O62),O61)</f>
        <v>1</v>
      </c>
      <c r="P65" s="83">
        <f t="shared" si="8"/>
        <v>2</v>
      </c>
      <c r="Q65" s="154">
        <f>IF($Q62=0,IF($Q61=0,IF($Q60=0, FALSE,Q61),Q62),Q61)</f>
        <v>3</v>
      </c>
      <c r="R65" s="152" t="s">
        <v>39</v>
      </c>
      <c r="S65" s="30">
        <f t="shared" ref="S65" si="9">IF($Q62=0,IF($Q61=0,IF($Q60=0, FALSE,S61),S62),S61)</f>
        <v>5</v>
      </c>
      <c r="T65" s="117"/>
      <c r="U65" s="117"/>
      <c r="V65" s="117"/>
      <c r="W65" s="117"/>
      <c r="X65" s="117"/>
      <c r="Y65" s="117"/>
      <c r="Z65" s="51"/>
    </row>
    <row r="66" spans="2:26" ht="15.75" thickBot="1" x14ac:dyDescent="0.3">
      <c r="B66" s="154">
        <f>IF($B60=0,(IF($B61=0,IF($B62=0,FALSE,B60),B62)),B62)</f>
        <v>0</v>
      </c>
      <c r="C66" s="157">
        <f t="shared" ref="C66:F66" si="10">IF($B60=0,(IF($B61=0,IF($B62=0,FALSE,C60),C62)),C62)</f>
        <v>-7</v>
      </c>
      <c r="D66" s="25">
        <f t="shared" si="10"/>
        <v>9</v>
      </c>
      <c r="E66" s="25" t="str">
        <f>E62</f>
        <v>\\</v>
      </c>
      <c r="F66" s="25">
        <f t="shared" si="10"/>
        <v>8</v>
      </c>
      <c r="G66" s="119"/>
      <c r="H66" s="117"/>
      <c r="I66" s="117"/>
      <c r="J66" s="117"/>
      <c r="K66" s="117"/>
      <c r="L66" s="117"/>
      <c r="O66" s="25">
        <f t="shared" ref="O66:P66" si="11">IF($Q62=0,IF($Q61=0,IF($Q60=0, FALSE,O60),O61),O62)</f>
        <v>0</v>
      </c>
      <c r="P66" s="23">
        <f t="shared" si="11"/>
        <v>-7</v>
      </c>
      <c r="Q66" s="84">
        <f>IF($Q62=0,IF($Q61=0,IF($Q60=0, FALSE,Q60),Q61),Q62)</f>
        <v>9</v>
      </c>
      <c r="R66" s="84" t="s">
        <v>39</v>
      </c>
      <c r="S66" s="31">
        <f t="shared" ref="S66" si="12">IF($Q62=0,IF($Q61=0,IF($Q60=0, FALSE,S60),S61),S62)</f>
        <v>8</v>
      </c>
      <c r="T66" s="117"/>
      <c r="U66" s="117"/>
      <c r="V66" s="117"/>
      <c r="W66" s="117"/>
      <c r="X66" s="117"/>
      <c r="Y66" s="117"/>
      <c r="Z66" s="51"/>
    </row>
    <row r="67" spans="2:26" ht="15.75" thickBot="1" x14ac:dyDescent="0.3">
      <c r="B67" s="98"/>
      <c r="C67" s="133"/>
      <c r="D67" s="2"/>
      <c r="E67" s="2"/>
      <c r="F67" s="2"/>
      <c r="G67" s="119"/>
      <c r="H67" s="117"/>
      <c r="I67" s="117"/>
      <c r="J67" s="117"/>
      <c r="K67" s="117"/>
      <c r="L67" s="117"/>
      <c r="O67" s="24"/>
      <c r="P67" s="24"/>
      <c r="Q67" s="24"/>
      <c r="S67" s="24"/>
      <c r="T67" s="117"/>
      <c r="U67" s="117"/>
      <c r="V67" s="117"/>
      <c r="W67" s="117"/>
      <c r="X67" s="117"/>
      <c r="Y67" s="117"/>
      <c r="Z67" s="51"/>
    </row>
    <row r="68" spans="2:26" ht="15.75" thickBot="1" x14ac:dyDescent="0.3">
      <c r="B68" s="79">
        <f t="shared" ref="B68:G68" si="13">B64</f>
        <v>1</v>
      </c>
      <c r="C68" s="158">
        <f t="shared" si="13"/>
        <v>2</v>
      </c>
      <c r="D68" s="22">
        <f t="shared" si="13"/>
        <v>3</v>
      </c>
      <c r="E68" s="22" t="str">
        <f t="shared" si="13"/>
        <v>\\</v>
      </c>
      <c r="F68" s="29">
        <f t="shared" si="13"/>
        <v>5</v>
      </c>
      <c r="G68" s="119" t="str">
        <f t="shared" si="13"/>
        <v>&gt;&gt;&gt;&gt;&gt;&gt;&gt;</v>
      </c>
      <c r="H68" s="117" t="s">
        <v>67</v>
      </c>
      <c r="I68" s="117"/>
      <c r="J68" s="117"/>
      <c r="K68" s="117"/>
      <c r="L68" s="117"/>
      <c r="O68" s="81">
        <f t="shared" ref="O68:P68" si="14">O64-(($Q64/$Q66)*O66)</f>
        <v>0</v>
      </c>
      <c r="P68" s="155">
        <f t="shared" si="14"/>
        <v>0.55555555555555536</v>
      </c>
      <c r="Q68" s="77">
        <f>Q64-(($Q64/$Q66)*Q66)</f>
        <v>0</v>
      </c>
      <c r="R68" s="82" t="s">
        <v>39</v>
      </c>
      <c r="S68" s="29">
        <f t="shared" ref="S68" si="15">S64-(($Q64/$Q66)*S66)</f>
        <v>13.222222222222221</v>
      </c>
      <c r="T68" s="117" t="str">
        <f>T64</f>
        <v>&gt;&gt;&gt;&gt;&gt;&gt;&gt;</v>
      </c>
      <c r="U68" s="117" t="s">
        <v>66</v>
      </c>
      <c r="V68" s="117"/>
      <c r="W68" s="117"/>
      <c r="X68" s="117"/>
      <c r="Y68" s="117"/>
      <c r="Z68" s="51"/>
    </row>
    <row r="69" spans="2:26" ht="15.75" thickBot="1" x14ac:dyDescent="0.3">
      <c r="B69" s="151">
        <f>B65-(($B65/$B64)*B64)</f>
        <v>0</v>
      </c>
      <c r="C69" s="80">
        <f t="shared" ref="C69:F69" si="16">C65-(($B65/$B64)*C64)</f>
        <v>-1</v>
      </c>
      <c r="D69" s="21">
        <f t="shared" si="16"/>
        <v>2</v>
      </c>
      <c r="E69" s="21" t="str">
        <f>E68</f>
        <v>\\</v>
      </c>
      <c r="F69" s="30">
        <f t="shared" si="16"/>
        <v>15</v>
      </c>
      <c r="G69" s="119"/>
      <c r="H69" s="117"/>
      <c r="I69" s="117"/>
      <c r="J69" s="117"/>
      <c r="K69" s="117"/>
      <c r="L69" s="117"/>
      <c r="O69" s="32">
        <f t="shared" ref="O69:P69" si="17">O65-(($Q65/$Q66)*O66)</f>
        <v>1</v>
      </c>
      <c r="P69" s="83">
        <f t="shared" si="17"/>
        <v>4.333333333333333</v>
      </c>
      <c r="Q69" s="77">
        <f>Q65-(($Q65/$Q66)*Q66)</f>
        <v>0</v>
      </c>
      <c r="R69" s="152" t="s">
        <v>39</v>
      </c>
      <c r="S69" s="30">
        <f t="shared" ref="S69" si="18">S65-(($Q65/$Q66)*S66)</f>
        <v>2.3333333333333335</v>
      </c>
      <c r="T69" s="117"/>
      <c r="U69" s="117"/>
      <c r="V69" s="117"/>
      <c r="W69" s="117"/>
      <c r="X69" s="117"/>
      <c r="Y69" s="117"/>
      <c r="Z69" s="51"/>
    </row>
    <row r="70" spans="2:26" ht="15.75" thickBot="1" x14ac:dyDescent="0.3">
      <c r="B70" s="156">
        <f>B66-(($B66/$B64)*B64)</f>
        <v>0</v>
      </c>
      <c r="C70" s="132">
        <f t="shared" ref="C70:F70" si="19">C66-(($B66/$B64)*C64)</f>
        <v>-7</v>
      </c>
      <c r="D70" s="78">
        <f t="shared" si="19"/>
        <v>9</v>
      </c>
      <c r="E70" s="23" t="str">
        <f>E68</f>
        <v>\\</v>
      </c>
      <c r="F70" s="31">
        <f t="shared" si="19"/>
        <v>8</v>
      </c>
      <c r="G70" s="119"/>
      <c r="H70" s="117"/>
      <c r="I70" s="117"/>
      <c r="J70" s="117"/>
      <c r="K70" s="117"/>
      <c r="L70" s="117"/>
      <c r="O70" s="25">
        <f>O66</f>
        <v>0</v>
      </c>
      <c r="P70" s="23">
        <f>P66</f>
        <v>-7</v>
      </c>
      <c r="Q70" s="162">
        <f>Q66</f>
        <v>9</v>
      </c>
      <c r="R70" s="23" t="s">
        <v>39</v>
      </c>
      <c r="S70" s="31">
        <f>S66</f>
        <v>8</v>
      </c>
      <c r="T70" s="117"/>
      <c r="U70" s="117"/>
      <c r="V70" s="117"/>
      <c r="W70" s="117"/>
      <c r="X70" s="117"/>
      <c r="Y70" s="117"/>
      <c r="Z70" s="51"/>
    </row>
    <row r="71" spans="2:26" ht="15.75" thickBot="1" x14ac:dyDescent="0.3">
      <c r="B71" s="171"/>
      <c r="C71" s="24"/>
      <c r="D71" s="24"/>
      <c r="E71" s="24"/>
      <c r="F71" s="24"/>
      <c r="G71" s="119"/>
      <c r="H71" s="117"/>
      <c r="I71" s="117"/>
      <c r="J71" s="117"/>
      <c r="K71" s="117"/>
      <c r="L71" s="117"/>
      <c r="O71" s="24"/>
      <c r="P71" s="24"/>
      <c r="Q71" s="153"/>
      <c r="R71" s="163"/>
      <c r="S71" s="24"/>
      <c r="T71" s="117"/>
      <c r="U71" s="117"/>
      <c r="V71" s="117"/>
      <c r="W71" s="117"/>
      <c r="X71" s="117"/>
      <c r="Y71" s="117"/>
      <c r="Z71" s="51"/>
    </row>
    <row r="72" spans="2:26" ht="15.75" thickBot="1" x14ac:dyDescent="0.3">
      <c r="B72" s="79">
        <f t="shared" ref="B72:G72" si="20">B68</f>
        <v>1</v>
      </c>
      <c r="C72" s="22">
        <f t="shared" si="20"/>
        <v>2</v>
      </c>
      <c r="D72" s="22">
        <f t="shared" si="20"/>
        <v>3</v>
      </c>
      <c r="E72" s="22" t="str">
        <f t="shared" si="20"/>
        <v>\\</v>
      </c>
      <c r="F72" s="29">
        <f t="shared" si="20"/>
        <v>5</v>
      </c>
      <c r="G72" s="119" t="str">
        <f t="shared" si="20"/>
        <v>&gt;&gt;&gt;&gt;&gt;&gt;&gt;</v>
      </c>
      <c r="H72" s="117" t="s">
        <v>59</v>
      </c>
      <c r="I72" s="117"/>
      <c r="J72" s="117"/>
      <c r="K72" s="117"/>
      <c r="L72" s="117"/>
      <c r="O72" s="81">
        <f>IF($P73=$P68,O69,O68)</f>
        <v>0</v>
      </c>
      <c r="P72" s="155">
        <f>IF($P73=$P68,P69,P68)</f>
        <v>0.55555555555555536</v>
      </c>
      <c r="Q72" s="77">
        <f t="shared" ref="Q72:S72" si="21">IF($P73=$P68,Q69,Q68)</f>
        <v>0</v>
      </c>
      <c r="R72" s="82" t="s">
        <v>39</v>
      </c>
      <c r="S72" s="29">
        <f t="shared" si="21"/>
        <v>13.222222222222221</v>
      </c>
      <c r="T72" s="117" t="str">
        <f>T68</f>
        <v>&gt;&gt;&gt;&gt;&gt;&gt;&gt;</v>
      </c>
      <c r="U72" s="117" t="s">
        <v>64</v>
      </c>
      <c r="V72" s="117"/>
      <c r="W72" s="117"/>
      <c r="X72" s="117"/>
      <c r="Y72" s="117"/>
      <c r="Z72" s="51"/>
    </row>
    <row r="73" spans="2:26" ht="15.75" thickBot="1" x14ac:dyDescent="0.3">
      <c r="B73" s="151">
        <f>IF($C69=0,IF($C70=0,B69,B70),B69)</f>
        <v>0</v>
      </c>
      <c r="C73" s="80">
        <f>IF($C69=0,IF($C70=0,FALSE,C70),C69)</f>
        <v>-1</v>
      </c>
      <c r="D73" s="21">
        <f t="shared" ref="D73:F73" si="22">IF($C69=0,IF($C70=0,D69,D70),D69)</f>
        <v>2</v>
      </c>
      <c r="E73" s="22" t="str">
        <f t="shared" ref="E73" si="23">E69</f>
        <v>\\</v>
      </c>
      <c r="F73" s="30">
        <f t="shared" si="22"/>
        <v>15</v>
      </c>
      <c r="G73" s="119"/>
      <c r="H73" s="117"/>
      <c r="I73" s="117"/>
      <c r="J73" s="117"/>
      <c r="K73" s="117"/>
      <c r="L73" s="117"/>
      <c r="O73" s="32">
        <f t="shared" ref="O73:P73" si="24">IF($P69=0,IF($P68=0,FALSE,O68),O69)</f>
        <v>1</v>
      </c>
      <c r="P73" s="83">
        <f t="shared" si="24"/>
        <v>4.333333333333333</v>
      </c>
      <c r="Q73" s="77">
        <f>IF($P69=0,IF($P68=0,FALSE,Q68),Q69)</f>
        <v>0</v>
      </c>
      <c r="R73" s="152" t="s">
        <v>39</v>
      </c>
      <c r="S73" s="30">
        <f t="shared" ref="S73" si="25">IF($P69=0,IF($P68=0,FALSE,S68),S69)</f>
        <v>2.3333333333333335</v>
      </c>
      <c r="T73" s="117"/>
      <c r="U73" s="117"/>
      <c r="V73" s="117"/>
      <c r="W73" s="117"/>
      <c r="X73" s="117"/>
      <c r="Y73" s="117"/>
      <c r="Z73" s="51"/>
    </row>
    <row r="74" spans="2:26" ht="15.75" thickBot="1" x14ac:dyDescent="0.3">
      <c r="B74" s="156">
        <f>IF($C69=0,IF($C70=0,B70,B69),B70)</f>
        <v>0</v>
      </c>
      <c r="C74" s="132">
        <f>IF($C69=0,IF($C70=0,C70,C69),C70)</f>
        <v>-7</v>
      </c>
      <c r="D74" s="78">
        <f t="shared" ref="D74:F74" si="26">IF($C69=0,IF($C70=0,D70,D69),D70)</f>
        <v>9</v>
      </c>
      <c r="E74" s="22" t="str">
        <f t="shared" ref="E74" si="27">E70</f>
        <v>\\</v>
      </c>
      <c r="F74" s="23">
        <f t="shared" si="26"/>
        <v>8</v>
      </c>
      <c r="G74" s="119"/>
      <c r="H74" s="117"/>
      <c r="I74" s="117"/>
      <c r="J74" s="117"/>
      <c r="K74" s="117"/>
      <c r="L74" s="117"/>
      <c r="O74" s="25">
        <f>O70</f>
        <v>0</v>
      </c>
      <c r="P74" s="23">
        <f>P70</f>
        <v>-7</v>
      </c>
      <c r="Q74" s="162">
        <f>Q70</f>
        <v>9</v>
      </c>
      <c r="R74" s="23" t="s">
        <v>39</v>
      </c>
      <c r="S74" s="31">
        <f>S70</f>
        <v>8</v>
      </c>
      <c r="T74" s="117"/>
      <c r="U74" s="117"/>
      <c r="V74" s="117"/>
      <c r="W74" s="117"/>
      <c r="X74" s="117"/>
      <c r="Y74" s="117"/>
      <c r="Z74" s="51"/>
    </row>
    <row r="75" spans="2:26" ht="15.75" thickBot="1" x14ac:dyDescent="0.3">
      <c r="B75" s="171"/>
      <c r="C75" s="24"/>
      <c r="D75" s="24"/>
      <c r="E75" s="24"/>
      <c r="F75" s="24"/>
      <c r="G75" s="119"/>
      <c r="H75" s="117"/>
      <c r="I75" s="117"/>
      <c r="J75" s="117"/>
      <c r="K75" s="117"/>
      <c r="L75" s="117"/>
      <c r="O75" s="24"/>
      <c r="P75" s="24"/>
      <c r="Q75" s="153"/>
      <c r="R75" s="163"/>
      <c r="S75" s="24"/>
      <c r="T75" s="117"/>
      <c r="U75" s="117"/>
      <c r="V75" s="117"/>
      <c r="W75" s="117"/>
      <c r="X75" s="117"/>
      <c r="Y75" s="117"/>
      <c r="Z75" s="51"/>
    </row>
    <row r="76" spans="2:26" ht="15.75" thickBot="1" x14ac:dyDescent="0.3">
      <c r="B76" s="79">
        <f t="shared" ref="B76:G76" si="28">B72</f>
        <v>1</v>
      </c>
      <c r="C76" s="22">
        <f t="shared" si="28"/>
        <v>2</v>
      </c>
      <c r="D76" s="22">
        <f t="shared" si="28"/>
        <v>3</v>
      </c>
      <c r="E76" s="22" t="str">
        <f t="shared" si="28"/>
        <v>\\</v>
      </c>
      <c r="F76" s="29">
        <f t="shared" si="28"/>
        <v>5</v>
      </c>
      <c r="G76" s="119" t="str">
        <f t="shared" si="28"/>
        <v>&gt;&gt;&gt;&gt;&gt;&gt;&gt;</v>
      </c>
      <c r="H76" s="117" t="s">
        <v>50</v>
      </c>
      <c r="I76" s="117"/>
      <c r="J76" s="117"/>
      <c r="K76" s="117"/>
      <c r="L76" s="117"/>
      <c r="O76" s="81">
        <f>O72-(($P72/$P73)*O73)</f>
        <v>-0.12820512820512817</v>
      </c>
      <c r="P76" s="69">
        <f>P72-(($P72/$P73)*P73)</f>
        <v>0</v>
      </c>
      <c r="Q76" s="77">
        <f t="shared" ref="Q76:S76" si="29">Q72-(($P72/$P73)*Q73)</f>
        <v>0</v>
      </c>
      <c r="R76" s="82" t="s">
        <v>39</v>
      </c>
      <c r="S76" s="29">
        <f t="shared" si="29"/>
        <v>12.923076923076922</v>
      </c>
      <c r="T76" s="117" t="str">
        <f>T72</f>
        <v>&gt;&gt;&gt;&gt;&gt;&gt;&gt;</v>
      </c>
      <c r="U76" s="117" t="s">
        <v>65</v>
      </c>
      <c r="V76" s="117"/>
      <c r="W76" s="117"/>
      <c r="X76" s="117"/>
      <c r="Y76" s="117"/>
      <c r="Z76" s="51"/>
    </row>
    <row r="77" spans="2:26" ht="15.75" thickBot="1" x14ac:dyDescent="0.3">
      <c r="B77" s="77">
        <f>B73</f>
        <v>0</v>
      </c>
      <c r="C77" s="80">
        <f>C73</f>
        <v>-1</v>
      </c>
      <c r="D77" s="21">
        <f>D73</f>
        <v>2</v>
      </c>
      <c r="E77" s="21" t="str">
        <f>E73</f>
        <v>\\</v>
      </c>
      <c r="F77" s="30">
        <f>F73</f>
        <v>15</v>
      </c>
      <c r="G77" s="117"/>
      <c r="H77" s="117"/>
      <c r="I77" s="117"/>
      <c r="J77" s="117"/>
      <c r="K77" s="117"/>
      <c r="L77" s="117"/>
      <c r="O77" s="32">
        <f t="shared" ref="O77:S78" si="30">O73</f>
        <v>1</v>
      </c>
      <c r="P77" s="83">
        <f t="shared" si="30"/>
        <v>4.333333333333333</v>
      </c>
      <c r="Q77" s="77">
        <f t="shared" si="30"/>
        <v>0</v>
      </c>
      <c r="R77" s="152" t="s">
        <v>39</v>
      </c>
      <c r="S77" s="30">
        <f t="shared" si="30"/>
        <v>2.3333333333333335</v>
      </c>
      <c r="T77" s="117"/>
      <c r="U77" s="117"/>
      <c r="V77" s="117"/>
      <c r="W77" s="117"/>
      <c r="X77" s="117"/>
      <c r="Y77" s="117"/>
      <c r="Z77" s="51"/>
    </row>
    <row r="78" spans="2:26" ht="15.75" thickBot="1" x14ac:dyDescent="0.3">
      <c r="B78" s="77">
        <f>B74</f>
        <v>0</v>
      </c>
      <c r="C78" s="77">
        <f>C74-(($C74/$C73)*C73)</f>
        <v>0</v>
      </c>
      <c r="D78" s="78">
        <f>D74-(($C74/$C73)*D73)</f>
        <v>-5</v>
      </c>
      <c r="E78" s="23" t="str">
        <f>E77</f>
        <v>\\</v>
      </c>
      <c r="F78" s="31">
        <f>F74-(($C74/$C73)*F73)</f>
        <v>-97</v>
      </c>
      <c r="O78" s="25">
        <f t="shared" si="30"/>
        <v>0</v>
      </c>
      <c r="P78" s="23">
        <f t="shared" si="30"/>
        <v>-7</v>
      </c>
      <c r="Q78" s="162">
        <f t="shared" si="30"/>
        <v>9</v>
      </c>
      <c r="R78" s="23" t="s">
        <v>39</v>
      </c>
      <c r="S78" s="31">
        <f t="shared" si="30"/>
        <v>8</v>
      </c>
      <c r="T78" s="117"/>
      <c r="U78" s="117"/>
      <c r="V78" s="117"/>
      <c r="W78" s="117"/>
      <c r="X78" s="117"/>
      <c r="Y78" s="117"/>
      <c r="Z78" s="51"/>
    </row>
    <row r="79" spans="2:26" x14ac:dyDescent="0.25">
      <c r="B79" s="50"/>
      <c r="Z79" s="51"/>
    </row>
    <row r="80" spans="2:26" x14ac:dyDescent="0.25">
      <c r="B80" s="50"/>
      <c r="Z80" s="51"/>
    </row>
    <row r="81" spans="2:26" ht="15.75" thickBot="1" x14ac:dyDescent="0.3">
      <c r="B81" s="50"/>
      <c r="Z81" s="51"/>
    </row>
    <row r="82" spans="2:26" ht="15.75" thickBot="1" x14ac:dyDescent="0.3">
      <c r="B82" s="180"/>
      <c r="C82" s="323" t="s">
        <v>34</v>
      </c>
      <c r="D82" s="324"/>
      <c r="E82" s="323" t="s">
        <v>36</v>
      </c>
      <c r="F82" s="323" t="s">
        <v>30</v>
      </c>
      <c r="G82" s="323" t="s">
        <v>32</v>
      </c>
      <c r="H82" s="325" t="s">
        <v>35</v>
      </c>
      <c r="O82" s="180"/>
      <c r="P82" s="323" t="s">
        <v>34</v>
      </c>
      <c r="Q82" s="324"/>
      <c r="R82" s="323" t="s">
        <v>36</v>
      </c>
      <c r="S82" s="323" t="s">
        <v>30</v>
      </c>
      <c r="T82" s="323" t="s">
        <v>32</v>
      </c>
      <c r="U82" s="325" t="s">
        <v>35</v>
      </c>
      <c r="Z82" s="51"/>
    </row>
    <row r="83" spans="2:26" ht="15.75" thickBot="1" x14ac:dyDescent="0.3">
      <c r="B83" s="322">
        <f t="shared" ref="B83:D85" si="31">B76</f>
        <v>1</v>
      </c>
      <c r="C83" s="177">
        <f t="shared" si="31"/>
        <v>2</v>
      </c>
      <c r="D83" s="178">
        <f t="shared" si="31"/>
        <v>3</v>
      </c>
      <c r="E83" s="422" t="s">
        <v>30</v>
      </c>
      <c r="F83" s="179" t="str">
        <f>N52</f>
        <v>a</v>
      </c>
      <c r="G83" s="401" t="s">
        <v>32</v>
      </c>
      <c r="H83" s="179">
        <f t="shared" ref="H83:H85" si="32">F76</f>
        <v>5</v>
      </c>
      <c r="O83" s="326">
        <f t="shared" ref="O83:Q85" si="33">O76</f>
        <v>-0.12820512820512817</v>
      </c>
      <c r="P83" s="327">
        <f t="shared" si="33"/>
        <v>0</v>
      </c>
      <c r="Q83" s="327">
        <f t="shared" si="33"/>
        <v>0</v>
      </c>
      <c r="R83" s="422" t="s">
        <v>30</v>
      </c>
      <c r="S83" s="179" t="str">
        <f>J39</f>
        <v>a</v>
      </c>
      <c r="T83" s="401" t="s">
        <v>32</v>
      </c>
      <c r="U83" s="179">
        <f t="shared" ref="U83:U85" si="34">S76</f>
        <v>12.923076923076922</v>
      </c>
      <c r="Z83" s="51"/>
    </row>
    <row r="84" spans="2:26" ht="15.75" thickBot="1" x14ac:dyDescent="0.3">
      <c r="B84" s="77">
        <f t="shared" si="31"/>
        <v>0</v>
      </c>
      <c r="C84" s="165">
        <f t="shared" si="31"/>
        <v>-1</v>
      </c>
      <c r="D84" s="11">
        <f t="shared" si="31"/>
        <v>2</v>
      </c>
      <c r="E84" s="422"/>
      <c r="F84" s="13" t="str">
        <f>N53</f>
        <v>b</v>
      </c>
      <c r="G84" s="401"/>
      <c r="H84" s="13">
        <f t="shared" si="32"/>
        <v>15</v>
      </c>
      <c r="O84" s="10">
        <f t="shared" si="33"/>
        <v>1</v>
      </c>
      <c r="P84" s="166">
        <f t="shared" si="33"/>
        <v>4.333333333333333</v>
      </c>
      <c r="Q84" s="77">
        <f t="shared" si="33"/>
        <v>0</v>
      </c>
      <c r="R84" s="422"/>
      <c r="S84" s="13" t="str">
        <f>M39</f>
        <v>b</v>
      </c>
      <c r="T84" s="401"/>
      <c r="U84" s="13">
        <f t="shared" si="34"/>
        <v>2.3333333333333335</v>
      </c>
      <c r="Z84" s="51"/>
    </row>
    <row r="85" spans="2:26" ht="15.75" thickBot="1" x14ac:dyDescent="0.3">
      <c r="B85" s="77">
        <f t="shared" si="31"/>
        <v>0</v>
      </c>
      <c r="C85" s="77">
        <f t="shared" si="31"/>
        <v>0</v>
      </c>
      <c r="D85" s="164">
        <f t="shared" si="31"/>
        <v>-5</v>
      </c>
      <c r="E85" s="422"/>
      <c r="F85" s="5" t="str">
        <f>N54</f>
        <v>c</v>
      </c>
      <c r="G85" s="401"/>
      <c r="H85" s="5">
        <f t="shared" si="32"/>
        <v>-97</v>
      </c>
      <c r="O85" s="7">
        <f t="shared" si="33"/>
        <v>0</v>
      </c>
      <c r="P85" s="12">
        <f t="shared" si="33"/>
        <v>-7</v>
      </c>
      <c r="Q85" s="167">
        <f t="shared" si="33"/>
        <v>9</v>
      </c>
      <c r="R85" s="422"/>
      <c r="S85" s="5" t="str">
        <f>P39</f>
        <v>c</v>
      </c>
      <c r="T85" s="401"/>
      <c r="U85" s="5">
        <f t="shared" si="34"/>
        <v>8</v>
      </c>
      <c r="Z85" s="51"/>
    </row>
    <row r="86" spans="2:26" x14ac:dyDescent="0.25">
      <c r="B86" s="50"/>
      <c r="C86" s="2" t="s">
        <v>51</v>
      </c>
      <c r="P86" s="2" t="s">
        <v>51</v>
      </c>
      <c r="Z86" s="51"/>
    </row>
    <row r="87" spans="2:26" x14ac:dyDescent="0.25">
      <c r="B87" s="50"/>
      <c r="C87" s="2" t="s">
        <v>51</v>
      </c>
      <c r="P87" s="2" t="s">
        <v>51</v>
      </c>
      <c r="Z87" s="51"/>
    </row>
    <row r="88" spans="2:26" x14ac:dyDescent="0.25">
      <c r="B88" s="50"/>
      <c r="C88" s="2" t="s">
        <v>52</v>
      </c>
      <c r="P88" s="2" t="s">
        <v>52</v>
      </c>
      <c r="Z88" s="51"/>
    </row>
    <row r="89" spans="2:26" x14ac:dyDescent="0.25">
      <c r="B89" s="50"/>
      <c r="C89" s="2" t="s">
        <v>54</v>
      </c>
      <c r="P89" s="2" t="s">
        <v>53</v>
      </c>
      <c r="Z89" s="51"/>
    </row>
    <row r="90" spans="2:26" ht="15.75" thickBot="1" x14ac:dyDescent="0.3">
      <c r="B90" s="50"/>
      <c r="Z90" s="51"/>
    </row>
    <row r="91" spans="2:26" x14ac:dyDescent="0.25">
      <c r="B91" s="14" t="str">
        <f>F85</f>
        <v>c</v>
      </c>
      <c r="C91" s="15" t="s">
        <v>32</v>
      </c>
      <c r="D91" s="16">
        <f>H85/D85</f>
        <v>19.399999999999999</v>
      </c>
      <c r="E91" s="119" t="s">
        <v>55</v>
      </c>
      <c r="F91" s="117" t="s">
        <v>56</v>
      </c>
      <c r="G91" s="117"/>
      <c r="H91" s="117"/>
      <c r="O91" s="14" t="str">
        <f>S83</f>
        <v>a</v>
      </c>
      <c r="P91" s="15" t="s">
        <v>32</v>
      </c>
      <c r="Q91" s="16">
        <f>U83/O83</f>
        <v>-100.80000000000003</v>
      </c>
      <c r="R91" s="119" t="s">
        <v>55</v>
      </c>
      <c r="S91" s="117" t="s">
        <v>61</v>
      </c>
      <c r="T91" s="117"/>
      <c r="Z91" s="51"/>
    </row>
    <row r="92" spans="2:26" x14ac:dyDescent="0.25">
      <c r="B92" s="27" t="str">
        <f>F84</f>
        <v>b</v>
      </c>
      <c r="C92" s="26" t="s">
        <v>32</v>
      </c>
      <c r="D92" s="28">
        <f>(H84-(D84*D91))/C84</f>
        <v>23.799999999999997</v>
      </c>
      <c r="E92" s="119" t="str">
        <f>E91</f>
        <v>&lt;&lt;&lt;&lt;&lt;&lt;</v>
      </c>
      <c r="F92" s="117" t="s">
        <v>57</v>
      </c>
      <c r="G92" s="117"/>
      <c r="H92" s="117"/>
      <c r="O92" s="27" t="str">
        <f>S84</f>
        <v>b</v>
      </c>
      <c r="P92" s="26" t="s">
        <v>32</v>
      </c>
      <c r="Q92" s="28">
        <f>(U84-(O84*Q91))/P84</f>
        <v>23.800000000000008</v>
      </c>
      <c r="R92" s="119" t="str">
        <f>R91</f>
        <v>&lt;&lt;&lt;&lt;&lt;&lt;</v>
      </c>
      <c r="S92" s="117" t="s">
        <v>62</v>
      </c>
      <c r="T92" s="117"/>
      <c r="Z92" s="51"/>
    </row>
    <row r="93" spans="2:26" ht="15.75" thickBot="1" x14ac:dyDescent="0.3">
      <c r="B93" s="17" t="str">
        <f>F83</f>
        <v>a</v>
      </c>
      <c r="C93" s="18" t="s">
        <v>32</v>
      </c>
      <c r="D93" s="19">
        <f>(H83-(C83*D92)-(D83*D91))/B83</f>
        <v>-100.79999999999998</v>
      </c>
      <c r="E93" s="119" t="str">
        <f>E92</f>
        <v>&lt;&lt;&lt;&lt;&lt;&lt;</v>
      </c>
      <c r="F93" s="117" t="s">
        <v>58</v>
      </c>
      <c r="G93" s="117"/>
      <c r="H93" s="117"/>
      <c r="O93" s="17" t="str">
        <f>S85</f>
        <v>c</v>
      </c>
      <c r="P93" s="18" t="s">
        <v>32</v>
      </c>
      <c r="Q93" s="19">
        <f>(U85-(O85*Q91)-(P85*Q92))/Q85</f>
        <v>19.400000000000006</v>
      </c>
      <c r="R93" s="119" t="str">
        <f>R92</f>
        <v>&lt;&lt;&lt;&lt;&lt;&lt;</v>
      </c>
      <c r="S93" s="117" t="s">
        <v>63</v>
      </c>
      <c r="T93" s="117"/>
      <c r="Z93" s="51"/>
    </row>
    <row r="94" spans="2:26" x14ac:dyDescent="0.25">
      <c r="B94" s="50"/>
      <c r="Z94" s="51"/>
    </row>
    <row r="95" spans="2:26" x14ac:dyDescent="0.25">
      <c r="B95" s="50"/>
      <c r="Z95" s="51"/>
    </row>
    <row r="96" spans="2:26" x14ac:dyDescent="0.25">
      <c r="B96" s="50"/>
      <c r="Z96" s="51"/>
    </row>
    <row r="97" spans="2:26" x14ac:dyDescent="0.25">
      <c r="B97" s="50"/>
      <c r="Z97" s="51"/>
    </row>
    <row r="98" spans="2:26" ht="15.75" thickBot="1" x14ac:dyDescent="0.3">
      <c r="B98" s="52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40"/>
    </row>
    <row r="99" spans="2:26" ht="32.25" thickBot="1" x14ac:dyDescent="0.55000000000000004">
      <c r="B99" s="390" t="s">
        <v>233</v>
      </c>
      <c r="C99" s="391"/>
      <c r="D99" s="391"/>
      <c r="E99" s="391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1"/>
      <c r="R99" s="391"/>
      <c r="S99" s="391"/>
      <c r="T99" s="391"/>
      <c r="U99" s="391"/>
      <c r="V99" s="391"/>
      <c r="W99" s="391"/>
      <c r="X99" s="391"/>
      <c r="Y99" s="391"/>
      <c r="Z99" s="392"/>
    </row>
    <row r="100" spans="2:26" ht="15.75" thickBot="1" x14ac:dyDescent="0.3">
      <c r="B100" s="47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9"/>
    </row>
    <row r="101" spans="2:26" ht="15.75" customHeight="1" thickBot="1" x14ac:dyDescent="0.3">
      <c r="B101" s="50"/>
      <c r="D101" s="427" t="s">
        <v>357</v>
      </c>
      <c r="E101" s="428"/>
      <c r="F101" s="429"/>
      <c r="G101" s="143" t="s">
        <v>29</v>
      </c>
      <c r="H101" s="256">
        <v>2</v>
      </c>
      <c r="I101" s="141" t="s">
        <v>127</v>
      </c>
      <c r="J101" s="141" t="s">
        <v>41</v>
      </c>
      <c r="K101" s="141">
        <v>4</v>
      </c>
      <c r="L101" s="141" t="s">
        <v>128</v>
      </c>
      <c r="M101" s="141" t="s">
        <v>41</v>
      </c>
      <c r="N101" s="141">
        <v>-2</v>
      </c>
      <c r="O101" s="141" t="s">
        <v>129</v>
      </c>
      <c r="P101" s="141" t="s">
        <v>41</v>
      </c>
      <c r="Q101" s="141">
        <v>-2</v>
      </c>
      <c r="R101" s="141" t="s">
        <v>235</v>
      </c>
      <c r="S101" s="141" t="s">
        <v>32</v>
      </c>
      <c r="T101" s="142">
        <v>-4</v>
      </c>
      <c r="Z101" s="51"/>
    </row>
    <row r="102" spans="2:26" ht="15.75" customHeight="1" thickBot="1" x14ac:dyDescent="0.3">
      <c r="B102" s="50"/>
      <c r="D102" s="430"/>
      <c r="E102" s="431"/>
      <c r="F102" s="432"/>
      <c r="G102" s="143" t="s">
        <v>33</v>
      </c>
      <c r="H102" s="256">
        <v>1</v>
      </c>
      <c r="I102" s="141" t="str">
        <f>I101</f>
        <v>a</v>
      </c>
      <c r="J102" s="141" t="s">
        <v>41</v>
      </c>
      <c r="K102" s="141">
        <v>2</v>
      </c>
      <c r="L102" s="141" t="str">
        <f>L101</f>
        <v>b</v>
      </c>
      <c r="M102" s="141" t="s">
        <v>41</v>
      </c>
      <c r="N102" s="141">
        <v>4</v>
      </c>
      <c r="O102" s="141" t="str">
        <f>O101</f>
        <v>c</v>
      </c>
      <c r="P102" s="141" t="s">
        <v>41</v>
      </c>
      <c r="Q102" s="141">
        <v>-3</v>
      </c>
      <c r="R102" s="141" t="s">
        <v>235</v>
      </c>
      <c r="S102" s="141" t="s">
        <v>32</v>
      </c>
      <c r="T102" s="142">
        <v>5</v>
      </c>
      <c r="Z102" s="51"/>
    </row>
    <row r="103" spans="2:26" ht="15.75" thickBot="1" x14ac:dyDescent="0.3">
      <c r="B103" s="50"/>
      <c r="D103" s="430"/>
      <c r="E103" s="431"/>
      <c r="F103" s="432"/>
      <c r="G103" s="143" t="s">
        <v>42</v>
      </c>
      <c r="H103" s="92">
        <v>-3</v>
      </c>
      <c r="I103" s="93" t="str">
        <f>I101</f>
        <v>a</v>
      </c>
      <c r="J103" s="93" t="s">
        <v>41</v>
      </c>
      <c r="K103" s="93">
        <v>-3</v>
      </c>
      <c r="L103" s="93" t="str">
        <f>L101</f>
        <v>b</v>
      </c>
      <c r="M103" s="93" t="s">
        <v>41</v>
      </c>
      <c r="N103" s="93">
        <v>8</v>
      </c>
      <c r="O103" s="93" t="str">
        <f>O102</f>
        <v>c</v>
      </c>
      <c r="P103" s="93" t="s">
        <v>41</v>
      </c>
      <c r="Q103" s="93">
        <v>-2</v>
      </c>
      <c r="R103" s="93" t="s">
        <v>235</v>
      </c>
      <c r="S103" s="93" t="s">
        <v>32</v>
      </c>
      <c r="T103" s="94">
        <v>7</v>
      </c>
      <c r="Z103" s="51"/>
    </row>
    <row r="104" spans="2:26" ht="15.75" thickBot="1" x14ac:dyDescent="0.3">
      <c r="B104" s="50"/>
      <c r="D104" s="433"/>
      <c r="E104" s="434"/>
      <c r="F104" s="435"/>
      <c r="G104" s="143" t="s">
        <v>234</v>
      </c>
      <c r="H104" s="92">
        <v>-1</v>
      </c>
      <c r="I104" s="93" t="str">
        <f>I102</f>
        <v>a</v>
      </c>
      <c r="J104" s="93" t="s">
        <v>41</v>
      </c>
      <c r="K104" s="93">
        <v>1</v>
      </c>
      <c r="L104" s="93" t="str">
        <f>L102</f>
        <v>b</v>
      </c>
      <c r="M104" s="93" t="s">
        <v>41</v>
      </c>
      <c r="N104" s="93">
        <v>6</v>
      </c>
      <c r="O104" s="93" t="str">
        <f>O103</f>
        <v>c</v>
      </c>
      <c r="P104" s="93" t="s">
        <v>41</v>
      </c>
      <c r="Q104" s="93">
        <v>-3</v>
      </c>
      <c r="R104" s="93" t="s">
        <v>235</v>
      </c>
      <c r="S104" s="93" t="s">
        <v>32</v>
      </c>
      <c r="T104" s="94">
        <v>7</v>
      </c>
      <c r="Z104" s="51"/>
    </row>
    <row r="105" spans="2:26" x14ac:dyDescent="0.25">
      <c r="B105" s="50"/>
      <c r="Z105" s="51"/>
    </row>
    <row r="106" spans="2:26" x14ac:dyDescent="0.25">
      <c r="B106" s="50"/>
      <c r="Z106" s="51"/>
    </row>
    <row r="107" spans="2:26" ht="15.75" thickBot="1" x14ac:dyDescent="0.3">
      <c r="B107" s="50"/>
      <c r="H107" s="115" t="s">
        <v>138</v>
      </c>
      <c r="R107" t="s">
        <v>237</v>
      </c>
      <c r="Z107" s="51"/>
    </row>
    <row r="108" spans="2:26" x14ac:dyDescent="0.25">
      <c r="B108" s="50"/>
      <c r="G108" s="260" t="s">
        <v>344</v>
      </c>
      <c r="H108" s="14" t="str">
        <f>P116</f>
        <v>a</v>
      </c>
      <c r="I108" s="15" t="s">
        <v>32</v>
      </c>
      <c r="J108" s="16">
        <f>G170</f>
        <v>1</v>
      </c>
      <c r="Q108" s="260" t="s">
        <v>344</v>
      </c>
      <c r="R108" s="14" t="str">
        <f t="shared" ref="R108:T111" si="35">Q167</f>
        <v>a</v>
      </c>
      <c r="S108" s="15" t="str">
        <f t="shared" si="35"/>
        <v>=</v>
      </c>
      <c r="T108" s="16">
        <f t="shared" si="35"/>
        <v>1.0000000000000002</v>
      </c>
      <c r="Z108" s="51"/>
    </row>
    <row r="109" spans="2:26" x14ac:dyDescent="0.25">
      <c r="B109" s="50"/>
      <c r="H109" s="27" t="str">
        <f>P117</f>
        <v>b</v>
      </c>
      <c r="I109" s="26" t="s">
        <v>32</v>
      </c>
      <c r="J109" s="28">
        <f>G169</f>
        <v>2</v>
      </c>
      <c r="R109" s="27" t="str">
        <f t="shared" si="35"/>
        <v>b</v>
      </c>
      <c r="S109" s="26" t="str">
        <f t="shared" si="35"/>
        <v>=</v>
      </c>
      <c r="T109" s="28">
        <f t="shared" si="35"/>
        <v>2.0000000000000004</v>
      </c>
      <c r="Z109" s="51"/>
    </row>
    <row r="110" spans="2:26" x14ac:dyDescent="0.25">
      <c r="B110" s="50"/>
      <c r="H110" s="27" t="str">
        <f>P118</f>
        <v>c</v>
      </c>
      <c r="I110" s="26" t="s">
        <v>32</v>
      </c>
      <c r="J110" s="28">
        <f>G168</f>
        <v>3</v>
      </c>
      <c r="R110" s="27" t="str">
        <f t="shared" si="35"/>
        <v>c</v>
      </c>
      <c r="S110" s="26" t="str">
        <f t="shared" si="35"/>
        <v>=</v>
      </c>
      <c r="T110" s="28">
        <f t="shared" si="35"/>
        <v>3.0000000000000004</v>
      </c>
      <c r="Z110" s="51"/>
    </row>
    <row r="111" spans="2:26" ht="15.75" thickBot="1" x14ac:dyDescent="0.3">
      <c r="B111" s="50"/>
      <c r="H111" s="17" t="str">
        <f>P119</f>
        <v>d</v>
      </c>
      <c r="I111" s="18" t="s">
        <v>32</v>
      </c>
      <c r="J111" s="19">
        <f>G167</f>
        <v>4</v>
      </c>
      <c r="R111" s="17" t="str">
        <f t="shared" si="35"/>
        <v>d</v>
      </c>
      <c r="S111" s="18" t="str">
        <f t="shared" si="35"/>
        <v>=</v>
      </c>
      <c r="T111" s="19">
        <f t="shared" si="35"/>
        <v>4.0000000000000009</v>
      </c>
      <c r="Z111" s="51"/>
    </row>
    <row r="112" spans="2:26" x14ac:dyDescent="0.25">
      <c r="B112" s="50"/>
      <c r="Z112" s="51"/>
    </row>
    <row r="113" spans="2:26" ht="21.75" x14ac:dyDescent="0.35">
      <c r="B113" s="396" t="s">
        <v>267</v>
      </c>
      <c r="C113" s="397"/>
      <c r="D113" s="397"/>
      <c r="E113" s="397"/>
      <c r="F113" s="397"/>
      <c r="G113" s="397"/>
      <c r="H113" s="397"/>
      <c r="I113" s="397"/>
      <c r="J113" s="397"/>
      <c r="K113" s="397"/>
      <c r="L113" s="397"/>
      <c r="M113" s="397"/>
      <c r="N113" s="397"/>
      <c r="O113" s="397"/>
      <c r="P113" s="397"/>
      <c r="Q113" s="397"/>
      <c r="R113" s="397"/>
      <c r="S113" s="397"/>
      <c r="T113" s="397"/>
      <c r="U113" s="397"/>
      <c r="V113" s="397"/>
      <c r="W113" s="397"/>
      <c r="X113" s="397"/>
      <c r="Y113" s="397"/>
      <c r="Z113" s="398"/>
    </row>
    <row r="114" spans="2:26" ht="15.75" thickBot="1" x14ac:dyDescent="0.3">
      <c r="B114" s="50"/>
      <c r="Z114" s="51"/>
    </row>
    <row r="115" spans="2:26" ht="15" customHeight="1" thickBot="1" x14ac:dyDescent="0.3">
      <c r="B115" s="50"/>
      <c r="J115" s="445" t="s">
        <v>34</v>
      </c>
      <c r="K115" s="446"/>
      <c r="L115" s="446"/>
      <c r="M115" s="447"/>
      <c r="N115" s="445" t="s">
        <v>36</v>
      </c>
      <c r="O115" s="447"/>
      <c r="P115" s="258" t="s">
        <v>30</v>
      </c>
      <c r="Q115" s="181" t="s">
        <v>32</v>
      </c>
      <c r="R115" s="183" t="s">
        <v>35</v>
      </c>
      <c r="Z115" s="51"/>
    </row>
    <row r="116" spans="2:26" ht="15" customHeight="1" x14ac:dyDescent="0.25">
      <c r="B116" s="50"/>
      <c r="J116" s="259">
        <f>H101</f>
        <v>2</v>
      </c>
      <c r="K116" s="9">
        <f>K101</f>
        <v>4</v>
      </c>
      <c r="L116" s="9">
        <f>N101</f>
        <v>-2</v>
      </c>
      <c r="M116" s="6">
        <f>Q101</f>
        <v>-2</v>
      </c>
      <c r="N116" s="436" t="s">
        <v>30</v>
      </c>
      <c r="O116" s="437"/>
      <c r="P116" s="4" t="str">
        <f>I101</f>
        <v>a</v>
      </c>
      <c r="Q116" s="442" t="s">
        <v>32</v>
      </c>
      <c r="R116" s="4">
        <f>T101</f>
        <v>-4</v>
      </c>
      <c r="Z116" s="51"/>
    </row>
    <row r="117" spans="2:26" ht="15" customHeight="1" x14ac:dyDescent="0.25">
      <c r="B117" s="50"/>
      <c r="J117" s="10">
        <f>H102</f>
        <v>1</v>
      </c>
      <c r="K117" s="85">
        <f>K102</f>
        <v>2</v>
      </c>
      <c r="L117" s="85">
        <f>N102</f>
        <v>4</v>
      </c>
      <c r="M117" s="11">
        <f>Q102</f>
        <v>-3</v>
      </c>
      <c r="N117" s="438"/>
      <c r="O117" s="439"/>
      <c r="P117" s="13" t="str">
        <f>L101</f>
        <v>b</v>
      </c>
      <c r="Q117" s="443"/>
      <c r="R117" s="13">
        <f>T102</f>
        <v>5</v>
      </c>
      <c r="Z117" s="51"/>
    </row>
    <row r="118" spans="2:26" ht="15" customHeight="1" x14ac:dyDescent="0.25">
      <c r="B118" s="50"/>
      <c r="J118" s="10">
        <f>H103</f>
        <v>-3</v>
      </c>
      <c r="K118" s="85">
        <f>K103</f>
        <v>-3</v>
      </c>
      <c r="L118" s="85">
        <f>N103</f>
        <v>8</v>
      </c>
      <c r="M118" s="11">
        <f>Q103</f>
        <v>-2</v>
      </c>
      <c r="N118" s="438"/>
      <c r="O118" s="439"/>
      <c r="P118" s="13" t="str">
        <f>O101</f>
        <v>c</v>
      </c>
      <c r="Q118" s="443"/>
      <c r="R118" s="13">
        <f>T103</f>
        <v>7</v>
      </c>
      <c r="Z118" s="51"/>
    </row>
    <row r="119" spans="2:26" ht="15" customHeight="1" thickBot="1" x14ac:dyDescent="0.3">
      <c r="B119" s="50"/>
      <c r="J119" s="7">
        <f>H104</f>
        <v>-1</v>
      </c>
      <c r="K119" s="12">
        <f>K104</f>
        <v>1</v>
      </c>
      <c r="L119" s="12">
        <f>N104</f>
        <v>6</v>
      </c>
      <c r="M119" s="8">
        <f>Q104</f>
        <v>-3</v>
      </c>
      <c r="N119" s="440"/>
      <c r="O119" s="441"/>
      <c r="P119" s="5" t="str">
        <f>R101</f>
        <v>d</v>
      </c>
      <c r="Q119" s="444"/>
      <c r="R119" s="5">
        <f>T104</f>
        <v>7</v>
      </c>
      <c r="Z119" s="51"/>
    </row>
    <row r="120" spans="2:26" x14ac:dyDescent="0.25">
      <c r="B120" s="50"/>
      <c r="Z120" s="51"/>
    </row>
    <row r="121" spans="2:26" x14ac:dyDescent="0.25">
      <c r="B121" s="50"/>
      <c r="Z121" s="51"/>
    </row>
    <row r="122" spans="2:26" ht="24" x14ac:dyDescent="0.4">
      <c r="B122" s="410" t="s">
        <v>48</v>
      </c>
      <c r="C122" s="411"/>
      <c r="D122" s="411"/>
      <c r="E122" s="411"/>
      <c r="F122" s="411"/>
      <c r="G122" s="411"/>
      <c r="H122" s="411"/>
      <c r="I122" s="411"/>
      <c r="N122" s="168" t="s">
        <v>68</v>
      </c>
      <c r="Z122" s="51"/>
    </row>
    <row r="123" spans="2:26" x14ac:dyDescent="0.25">
      <c r="B123" s="50"/>
      <c r="Z123" s="51"/>
    </row>
    <row r="124" spans="2:26" ht="15.75" thickBot="1" x14ac:dyDescent="0.3">
      <c r="B124" s="50"/>
      <c r="Z124" s="51"/>
    </row>
    <row r="125" spans="2:26" ht="15.75" thickBot="1" x14ac:dyDescent="0.3">
      <c r="B125" s="50"/>
      <c r="C125" s="79">
        <f t="shared" ref="C125:F128" si="36">J116</f>
        <v>2</v>
      </c>
      <c r="D125" s="22">
        <f t="shared" si="36"/>
        <v>4</v>
      </c>
      <c r="E125" s="22">
        <f t="shared" si="36"/>
        <v>-2</v>
      </c>
      <c r="F125" s="22">
        <f t="shared" si="36"/>
        <v>-2</v>
      </c>
      <c r="G125" s="22" t="s">
        <v>39</v>
      </c>
      <c r="H125" s="29">
        <f>R116</f>
        <v>-4</v>
      </c>
      <c r="I125" s="169" t="s">
        <v>49</v>
      </c>
      <c r="J125" s="117" t="s">
        <v>47</v>
      </c>
      <c r="K125" s="117"/>
      <c r="L125" s="2"/>
      <c r="O125" s="81">
        <f t="shared" ref="O125:T125" si="37">C125</f>
        <v>2</v>
      </c>
      <c r="P125" s="154">
        <f t="shared" si="37"/>
        <v>4</v>
      </c>
      <c r="Q125" s="154">
        <f t="shared" si="37"/>
        <v>-2</v>
      </c>
      <c r="R125" s="266">
        <f t="shared" si="37"/>
        <v>-2</v>
      </c>
      <c r="S125" s="82" t="str">
        <f t="shared" si="37"/>
        <v>\\</v>
      </c>
      <c r="T125" s="29">
        <f t="shared" si="37"/>
        <v>-4</v>
      </c>
      <c r="U125" s="169" t="s">
        <v>49</v>
      </c>
      <c r="V125" s="117" t="s">
        <v>47</v>
      </c>
      <c r="W125" s="117"/>
      <c r="X125" s="2"/>
      <c r="Z125" s="51"/>
    </row>
    <row r="126" spans="2:26" ht="15.75" thickBot="1" x14ac:dyDescent="0.3">
      <c r="B126" s="50"/>
      <c r="C126" s="154">
        <f t="shared" si="36"/>
        <v>1</v>
      </c>
      <c r="D126" s="80">
        <f t="shared" si="36"/>
        <v>2</v>
      </c>
      <c r="E126" s="21">
        <f t="shared" si="36"/>
        <v>4</v>
      </c>
      <c r="F126" s="21">
        <f t="shared" si="36"/>
        <v>-3</v>
      </c>
      <c r="G126" s="21" t="s">
        <v>39</v>
      </c>
      <c r="H126" s="30">
        <f>R117</f>
        <v>5</v>
      </c>
      <c r="I126" s="2"/>
      <c r="J126" s="2"/>
      <c r="K126" s="2"/>
      <c r="L126" s="2"/>
      <c r="O126" s="32">
        <f t="shared" ref="O126:R128" si="38">C126</f>
        <v>1</v>
      </c>
      <c r="P126" s="83">
        <f t="shared" si="38"/>
        <v>2</v>
      </c>
      <c r="Q126" s="154">
        <f t="shared" si="38"/>
        <v>4</v>
      </c>
      <c r="R126" s="267">
        <f t="shared" si="38"/>
        <v>-3</v>
      </c>
      <c r="S126" s="152" t="str">
        <f t="shared" ref="S126:S158" si="39">G126</f>
        <v>\\</v>
      </c>
      <c r="T126" s="30">
        <f>H126</f>
        <v>5</v>
      </c>
      <c r="U126" s="2"/>
      <c r="V126" s="2"/>
      <c r="W126" s="2"/>
      <c r="X126" s="2"/>
      <c r="Z126" s="51"/>
    </row>
    <row r="127" spans="2:26" ht="15.75" thickBot="1" x14ac:dyDescent="0.3">
      <c r="B127" s="50"/>
      <c r="C127" s="154">
        <f t="shared" si="36"/>
        <v>-3</v>
      </c>
      <c r="D127" s="154">
        <f t="shared" si="36"/>
        <v>-3</v>
      </c>
      <c r="E127" s="80">
        <f t="shared" si="36"/>
        <v>8</v>
      </c>
      <c r="F127" s="21">
        <f t="shared" si="36"/>
        <v>-2</v>
      </c>
      <c r="G127" s="21" t="s">
        <v>39</v>
      </c>
      <c r="H127" s="30">
        <f>R118</f>
        <v>7</v>
      </c>
      <c r="I127" s="2"/>
      <c r="J127" s="2"/>
      <c r="K127" s="2"/>
      <c r="L127" s="2"/>
      <c r="O127" s="32">
        <f t="shared" si="38"/>
        <v>-3</v>
      </c>
      <c r="P127" s="21">
        <f t="shared" si="38"/>
        <v>-3</v>
      </c>
      <c r="Q127" s="83">
        <f t="shared" si="38"/>
        <v>8</v>
      </c>
      <c r="R127" s="268">
        <f t="shared" si="38"/>
        <v>-2</v>
      </c>
      <c r="S127" s="152" t="str">
        <f t="shared" si="39"/>
        <v>\\</v>
      </c>
      <c r="T127" s="30">
        <f>H127</f>
        <v>7</v>
      </c>
      <c r="U127" s="2"/>
      <c r="V127" s="2"/>
      <c r="W127" s="2"/>
      <c r="X127" s="2"/>
      <c r="Z127" s="51"/>
    </row>
    <row r="128" spans="2:26" ht="15.75" thickBot="1" x14ac:dyDescent="0.3">
      <c r="B128" s="50"/>
      <c r="C128" s="154">
        <f t="shared" si="36"/>
        <v>-1</v>
      </c>
      <c r="D128" s="154">
        <f t="shared" si="36"/>
        <v>1</v>
      </c>
      <c r="E128" s="154">
        <f t="shared" si="36"/>
        <v>6</v>
      </c>
      <c r="F128" s="78">
        <f t="shared" si="36"/>
        <v>-3</v>
      </c>
      <c r="G128" s="23" t="s">
        <v>39</v>
      </c>
      <c r="H128" s="31">
        <f>R119</f>
        <v>7</v>
      </c>
      <c r="I128" s="2"/>
      <c r="J128" s="2"/>
      <c r="K128" s="2"/>
      <c r="L128" s="2"/>
      <c r="O128" s="25">
        <f t="shared" si="38"/>
        <v>-1</v>
      </c>
      <c r="P128" s="23">
        <f t="shared" si="38"/>
        <v>1</v>
      </c>
      <c r="Q128" s="23">
        <f t="shared" si="38"/>
        <v>6</v>
      </c>
      <c r="R128" s="84">
        <f t="shared" si="38"/>
        <v>-3</v>
      </c>
      <c r="S128" s="23" t="str">
        <f t="shared" si="39"/>
        <v>\\</v>
      </c>
      <c r="T128" s="31">
        <f>H128</f>
        <v>7</v>
      </c>
      <c r="U128" s="2"/>
      <c r="V128" s="2"/>
      <c r="W128" s="2"/>
      <c r="X128" s="2"/>
      <c r="Z128" s="51"/>
    </row>
    <row r="129" spans="2:31" ht="15.75" thickBot="1" x14ac:dyDescent="0.3">
      <c r="B129" s="50"/>
      <c r="C129" s="2"/>
      <c r="D129" s="2"/>
      <c r="E129" s="2"/>
      <c r="F129" s="2"/>
      <c r="G129" s="135"/>
      <c r="H129" s="2"/>
      <c r="I129" s="2"/>
      <c r="J129" s="2"/>
      <c r="K129" s="2"/>
      <c r="L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Z129" s="51"/>
    </row>
    <row r="130" spans="2:31" ht="15.75" thickBot="1" x14ac:dyDescent="0.3">
      <c r="B130" s="50"/>
      <c r="C130" s="79">
        <f>IF($C125=0,IF($C126=0, IF($C127=0, IF($C128=0,FALSE,C128),C127),C126),C125)</f>
        <v>2</v>
      </c>
      <c r="D130" s="22">
        <f t="shared" ref="D130:H130" si="40">IF($C125=0,IF($C126=0, IF($C127=0, IF($C128=0,FALSE,D128),D127),D126),D125)</f>
        <v>4</v>
      </c>
      <c r="E130" s="22">
        <f t="shared" si="40"/>
        <v>-2</v>
      </c>
      <c r="F130" s="22">
        <f t="shared" si="40"/>
        <v>-2</v>
      </c>
      <c r="G130" s="22" t="s">
        <v>39</v>
      </c>
      <c r="H130" s="29">
        <f t="shared" si="40"/>
        <v>-4</v>
      </c>
      <c r="I130" s="119" t="s">
        <v>49</v>
      </c>
      <c r="J130" s="117" t="s">
        <v>46</v>
      </c>
      <c r="K130" s="117"/>
      <c r="L130" s="117"/>
      <c r="O130" s="81">
        <f t="shared" ref="O130:T130" si="41">IF($R128=0,IF($R127=0,IF($R126=0,IF($R125=0,FALSE,O128),O125),O125),O125)</f>
        <v>2</v>
      </c>
      <c r="P130" s="154">
        <f t="shared" si="41"/>
        <v>4</v>
      </c>
      <c r="Q130" s="266">
        <f t="shared" si="41"/>
        <v>-2</v>
      </c>
      <c r="R130" s="266">
        <f>IF($R128=0,IF($R127=0,IF($R126=0,IF($R125=0,FALSE,R128),R125),R125),R125)</f>
        <v>-2</v>
      </c>
      <c r="S130" s="82" t="str">
        <f t="shared" si="39"/>
        <v>\\</v>
      </c>
      <c r="T130" s="29">
        <f t="shared" si="41"/>
        <v>-4</v>
      </c>
      <c r="U130" s="119" t="s">
        <v>49</v>
      </c>
      <c r="V130" s="117" t="s">
        <v>349</v>
      </c>
      <c r="W130" s="117"/>
      <c r="X130" s="117"/>
      <c r="Z130" s="51"/>
    </row>
    <row r="131" spans="2:31" ht="16.5" thickBot="1" x14ac:dyDescent="0.3">
      <c r="B131" s="50"/>
      <c r="C131" s="154">
        <f>IF($C125=0,IF($C126=0, IF($C127=0, IF($C128=0,FALSE,C126),C126),C125),C126)</f>
        <v>1</v>
      </c>
      <c r="D131" s="80">
        <f t="shared" ref="D131:H131" si="42">IF($C125=0,IF($C126=0, IF($C127=0, IF($C128=0,FALSE,D126),D126),D125),D126)</f>
        <v>2</v>
      </c>
      <c r="E131" s="21">
        <f t="shared" si="42"/>
        <v>4</v>
      </c>
      <c r="F131" s="21">
        <f t="shared" si="42"/>
        <v>-3</v>
      </c>
      <c r="G131" s="21" t="s">
        <v>39</v>
      </c>
      <c r="H131" s="30">
        <f t="shared" si="42"/>
        <v>5</v>
      </c>
      <c r="I131" s="2"/>
      <c r="J131" s="2"/>
      <c r="K131" s="2"/>
      <c r="L131" s="2"/>
      <c r="O131" s="32">
        <f t="shared" ref="O131:T131" si="43">IF($R128=0,IF($R127=0,IF($R126=0,IF($R125=0,FALSE,O126),O128),O126),O126)</f>
        <v>1</v>
      </c>
      <c r="P131" s="83">
        <f t="shared" si="43"/>
        <v>2</v>
      </c>
      <c r="Q131" s="268">
        <f t="shared" si="43"/>
        <v>4</v>
      </c>
      <c r="R131" s="267">
        <f>IF($R128=0,IF($R127=0,IF($R126=0,IF($R125=0,FALSE,R126),R128),R126),R126)</f>
        <v>-3</v>
      </c>
      <c r="S131" s="152" t="str">
        <f t="shared" si="39"/>
        <v>\\</v>
      </c>
      <c r="T131" s="30">
        <f t="shared" si="43"/>
        <v>5</v>
      </c>
      <c r="U131" s="2"/>
      <c r="V131" s="2"/>
      <c r="W131" s="2"/>
      <c r="X131" s="2"/>
      <c r="Z131" s="51"/>
      <c r="AE131" s="257"/>
    </row>
    <row r="132" spans="2:31" ht="15.75" thickBot="1" x14ac:dyDescent="0.3">
      <c r="B132" s="50"/>
      <c r="C132" s="154">
        <f>IF($C125=0,IF($C126=0, IF($C127=0, IF($C128=0,FALSE,C127),C125),C127),C127)</f>
        <v>-3</v>
      </c>
      <c r="D132" s="154">
        <f t="shared" ref="D132:H132" si="44">IF($C125=0,IF($C126=0, IF($C127=0, IF($C128=0,FALSE,D127),D125),D127),D127)</f>
        <v>-3</v>
      </c>
      <c r="E132" s="80">
        <f t="shared" si="44"/>
        <v>8</v>
      </c>
      <c r="F132" s="21">
        <f t="shared" si="44"/>
        <v>-2</v>
      </c>
      <c r="G132" s="21" t="s">
        <v>39</v>
      </c>
      <c r="H132" s="30">
        <f t="shared" si="44"/>
        <v>7</v>
      </c>
      <c r="I132" s="2"/>
      <c r="J132" s="2"/>
      <c r="K132" s="2"/>
      <c r="L132" s="2"/>
      <c r="O132" s="32">
        <f t="shared" ref="O132:Q132" si="45">IF($R128=0,IF($R127=0,IF($R126=0,IF($R125=0,FALSE,O127),O127),O128),O127)</f>
        <v>-3</v>
      </c>
      <c r="P132" s="21">
        <f t="shared" si="45"/>
        <v>-3</v>
      </c>
      <c r="Q132" s="83">
        <f t="shared" si="45"/>
        <v>8</v>
      </c>
      <c r="R132" s="268">
        <f>IF($R128=0,IF($R127=0,IF($R126=0,IF($R125=0,FALSE,R127),R127),R128),R127)</f>
        <v>-2</v>
      </c>
      <c r="S132" s="152" t="str">
        <f t="shared" si="39"/>
        <v>\\</v>
      </c>
      <c r="T132" s="30">
        <f t="shared" ref="T132" si="46">IF($R128=0,IF($R127=0,IF($R126=0,IF($R125=0,FALSE,T127),T127),T128),T127)</f>
        <v>7</v>
      </c>
      <c r="U132" s="2"/>
      <c r="V132" s="2"/>
      <c r="W132" s="2"/>
      <c r="X132" s="2"/>
      <c r="Z132" s="51"/>
    </row>
    <row r="133" spans="2:31" ht="15.75" thickBot="1" x14ac:dyDescent="0.3">
      <c r="B133" s="50"/>
      <c r="C133" s="154">
        <f>IF($C125=0,IF($C126=0, IF($C127=0, IF($C128=0,FALSE,C125),C128),C128),C128)</f>
        <v>-1</v>
      </c>
      <c r="D133" s="154">
        <f t="shared" ref="D133:H133" si="47">IF($C125=0,IF($C126=0, IF($C127=0, IF($C128=0,FALSE,D125),D128),D128),D128)</f>
        <v>1</v>
      </c>
      <c r="E133" s="154">
        <f t="shared" si="47"/>
        <v>6</v>
      </c>
      <c r="F133" s="78">
        <f t="shared" si="47"/>
        <v>-3</v>
      </c>
      <c r="G133" s="23" t="s">
        <v>39</v>
      </c>
      <c r="H133" s="31">
        <f t="shared" si="47"/>
        <v>7</v>
      </c>
      <c r="I133" s="2"/>
      <c r="J133" s="2"/>
      <c r="K133" s="2"/>
      <c r="L133" s="2"/>
      <c r="O133" s="25">
        <f t="shared" ref="O133:Q133" si="48">IF($R128=0,IF($R127=0,IF($R126=0,IF($R125=0,FALSE,O125),O126),O127),O128)</f>
        <v>-1</v>
      </c>
      <c r="P133" s="23">
        <f t="shared" si="48"/>
        <v>1</v>
      </c>
      <c r="Q133" s="23">
        <f t="shared" si="48"/>
        <v>6</v>
      </c>
      <c r="R133" s="84">
        <f>IF($R128=0,IF($R127=0,IF($R126=0,IF($R125=0,FALSE,R125),R126),R127),R128)</f>
        <v>-3</v>
      </c>
      <c r="S133" s="23" t="str">
        <f t="shared" si="39"/>
        <v>\\</v>
      </c>
      <c r="T133" s="31">
        <f t="shared" ref="T133" si="49">IF($R128=0,IF($R127=0,IF($R126=0,IF($R125=0,FALSE,T125),T126),T127),T128)</f>
        <v>7</v>
      </c>
      <c r="U133" s="2"/>
      <c r="V133" s="2"/>
      <c r="W133" s="2"/>
      <c r="X133" s="2"/>
      <c r="Z133" s="51"/>
    </row>
    <row r="134" spans="2:31" ht="15.75" thickBot="1" x14ac:dyDescent="0.3">
      <c r="B134" s="50"/>
      <c r="C134" s="2"/>
      <c r="D134" s="2"/>
      <c r="E134" s="2"/>
      <c r="F134" s="2"/>
      <c r="G134" s="135"/>
      <c r="H134" s="2"/>
      <c r="I134" s="2"/>
      <c r="J134" s="2"/>
      <c r="K134" s="2"/>
      <c r="L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Z134" s="51"/>
    </row>
    <row r="135" spans="2:31" ht="15.75" thickBot="1" x14ac:dyDescent="0.3">
      <c r="B135" s="50"/>
      <c r="C135" s="79">
        <f>C130</f>
        <v>2</v>
      </c>
      <c r="D135" s="22">
        <f t="shared" ref="D135:H135" si="50">D130</f>
        <v>4</v>
      </c>
      <c r="E135" s="22">
        <f t="shared" si="50"/>
        <v>-2</v>
      </c>
      <c r="F135" s="22">
        <f t="shared" si="50"/>
        <v>-2</v>
      </c>
      <c r="G135" s="22" t="s">
        <v>39</v>
      </c>
      <c r="H135" s="29">
        <f t="shared" si="50"/>
        <v>-4</v>
      </c>
      <c r="I135" s="119" t="s">
        <v>49</v>
      </c>
      <c r="J135" s="117" t="s">
        <v>67</v>
      </c>
      <c r="K135" s="2"/>
      <c r="L135" s="2"/>
      <c r="O135" s="81">
        <f t="shared" ref="O135:T135" si="51">O130-((O133/$R133)*$R130)</f>
        <v>2.6666666666666665</v>
      </c>
      <c r="P135" s="154">
        <f t="shared" si="51"/>
        <v>3.3333333333333335</v>
      </c>
      <c r="Q135" s="266">
        <f t="shared" si="51"/>
        <v>-6</v>
      </c>
      <c r="R135" s="266">
        <f>R130-((R133/$R133)*$R130)</f>
        <v>0</v>
      </c>
      <c r="S135" s="82" t="str">
        <f t="shared" si="39"/>
        <v>\\</v>
      </c>
      <c r="T135" s="29">
        <f t="shared" si="51"/>
        <v>-8.6666666666666679</v>
      </c>
      <c r="U135" s="119" t="s">
        <v>49</v>
      </c>
      <c r="V135" s="117" t="s">
        <v>280</v>
      </c>
      <c r="W135" s="2"/>
      <c r="X135" s="2"/>
      <c r="Z135" s="51"/>
    </row>
    <row r="136" spans="2:31" ht="15.75" thickBot="1" x14ac:dyDescent="0.3">
      <c r="B136" s="50"/>
      <c r="C136" s="154">
        <f>C131-((C130/$C130) *$C131)</f>
        <v>0</v>
      </c>
      <c r="D136" s="80">
        <f t="shared" ref="D136:H136" si="52">D131-((D130/$C130) *$C131)</f>
        <v>0</v>
      </c>
      <c r="E136" s="21">
        <f t="shared" si="52"/>
        <v>5</v>
      </c>
      <c r="F136" s="21">
        <f t="shared" si="52"/>
        <v>-2</v>
      </c>
      <c r="G136" s="21" t="s">
        <v>39</v>
      </c>
      <c r="H136" s="30">
        <f t="shared" si="52"/>
        <v>7</v>
      </c>
      <c r="I136" s="2"/>
      <c r="J136" s="2"/>
      <c r="K136" s="2"/>
      <c r="L136" s="2"/>
      <c r="O136" s="32">
        <f t="shared" ref="O136:T136" si="53">O131-((O133/$R133)*$R131)</f>
        <v>2</v>
      </c>
      <c r="P136" s="83">
        <f t="shared" si="53"/>
        <v>1</v>
      </c>
      <c r="Q136" s="268">
        <f t="shared" si="53"/>
        <v>-2</v>
      </c>
      <c r="R136" s="268">
        <f>R131-((R133/$R133)*$R131)</f>
        <v>0</v>
      </c>
      <c r="S136" s="152" t="str">
        <f t="shared" si="39"/>
        <v>\\</v>
      </c>
      <c r="T136" s="30">
        <f t="shared" si="53"/>
        <v>-2</v>
      </c>
      <c r="U136" s="2"/>
      <c r="V136" s="2"/>
      <c r="W136" s="2"/>
      <c r="X136" s="2"/>
      <c r="Z136" s="51"/>
    </row>
    <row r="137" spans="2:31" ht="15.75" thickBot="1" x14ac:dyDescent="0.3">
      <c r="B137" s="50"/>
      <c r="C137" s="154">
        <f>C132-((C130/$C130)*$C132)</f>
        <v>0</v>
      </c>
      <c r="D137" s="154">
        <f t="shared" ref="D137:H137" si="54">D132-((D130/$C130)*$C132)</f>
        <v>3</v>
      </c>
      <c r="E137" s="80">
        <f t="shared" si="54"/>
        <v>5</v>
      </c>
      <c r="F137" s="21">
        <f t="shared" si="54"/>
        <v>-5</v>
      </c>
      <c r="G137" s="21" t="s">
        <v>39</v>
      </c>
      <c r="H137" s="30">
        <f t="shared" si="54"/>
        <v>1</v>
      </c>
      <c r="I137" s="2"/>
      <c r="J137" s="2"/>
      <c r="K137" s="2"/>
      <c r="L137" s="2"/>
      <c r="O137" s="32">
        <f t="shared" ref="O137:Q137" si="55">(O132-((O133/$R133)*$R132))</f>
        <v>-2.3333333333333335</v>
      </c>
      <c r="P137" s="21">
        <f t="shared" si="55"/>
        <v>-3.6666666666666665</v>
      </c>
      <c r="Q137" s="83">
        <f t="shared" si="55"/>
        <v>4</v>
      </c>
      <c r="R137" s="154">
        <f>(R132-((R133/$R133)*$R132))</f>
        <v>0</v>
      </c>
      <c r="S137" s="152" t="str">
        <f t="shared" si="39"/>
        <v>\\</v>
      </c>
      <c r="T137" s="30">
        <f t="shared" ref="T137" si="56">(T132-((T133/$R133)*$R132))</f>
        <v>2.333333333333333</v>
      </c>
      <c r="U137" s="2"/>
      <c r="V137" s="2"/>
      <c r="W137" s="2"/>
      <c r="X137" s="2"/>
      <c r="Z137" s="51"/>
    </row>
    <row r="138" spans="2:31" ht="15.75" thickBot="1" x14ac:dyDescent="0.3">
      <c r="B138" s="50"/>
      <c r="C138" s="154">
        <f>C133-((C130/$C130)*$C133)</f>
        <v>0</v>
      </c>
      <c r="D138" s="154">
        <f t="shared" ref="D138:H138" si="57">D133-((D130/$C130)*$C133)</f>
        <v>3</v>
      </c>
      <c r="E138" s="154">
        <f t="shared" si="57"/>
        <v>5</v>
      </c>
      <c r="F138" s="78">
        <f t="shared" si="57"/>
        <v>-4</v>
      </c>
      <c r="G138" s="23" t="s">
        <v>39</v>
      </c>
      <c r="H138" s="31">
        <f t="shared" si="57"/>
        <v>5</v>
      </c>
      <c r="I138" s="2"/>
      <c r="J138" s="2"/>
      <c r="K138" s="2"/>
      <c r="L138" s="2"/>
      <c r="O138" s="25">
        <f t="shared" ref="O138:Q138" si="58">O133</f>
        <v>-1</v>
      </c>
      <c r="P138" s="23">
        <f t="shared" si="58"/>
        <v>1</v>
      </c>
      <c r="Q138" s="23">
        <f t="shared" si="58"/>
        <v>6</v>
      </c>
      <c r="R138" s="84">
        <f>R133</f>
        <v>-3</v>
      </c>
      <c r="S138" s="23" t="str">
        <f t="shared" si="39"/>
        <v>\\</v>
      </c>
      <c r="T138" s="31">
        <f t="shared" ref="T138" si="59">T133</f>
        <v>7</v>
      </c>
      <c r="U138" s="2"/>
      <c r="V138" s="2"/>
      <c r="W138" s="2"/>
      <c r="X138" s="2"/>
      <c r="Z138" s="51"/>
    </row>
    <row r="139" spans="2:31" ht="15.75" thickBot="1" x14ac:dyDescent="0.3">
      <c r="B139" s="50"/>
      <c r="C139" s="2"/>
      <c r="D139" s="2"/>
      <c r="E139" s="2"/>
      <c r="F139" s="2"/>
      <c r="G139" s="135"/>
      <c r="H139" s="2"/>
      <c r="I139" s="2"/>
      <c r="J139" s="2"/>
      <c r="K139" s="2"/>
      <c r="L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Z139" s="51"/>
    </row>
    <row r="140" spans="2:31" ht="15.75" thickBot="1" x14ac:dyDescent="0.3">
      <c r="B140" s="50"/>
      <c r="C140" s="79">
        <f>C135</f>
        <v>2</v>
      </c>
      <c r="D140" s="22">
        <f t="shared" ref="D140:H140" si="60">D135</f>
        <v>4</v>
      </c>
      <c r="E140" s="22">
        <f t="shared" si="60"/>
        <v>-2</v>
      </c>
      <c r="F140" s="22">
        <f t="shared" si="60"/>
        <v>-2</v>
      </c>
      <c r="G140" s="22" t="s">
        <v>39</v>
      </c>
      <c r="H140" s="29">
        <f t="shared" si="60"/>
        <v>-4</v>
      </c>
      <c r="I140" s="119" t="s">
        <v>49</v>
      </c>
      <c r="J140" s="117" t="s">
        <v>346</v>
      </c>
      <c r="K140" s="117"/>
      <c r="L140" s="117"/>
      <c r="O140" s="81">
        <f t="shared" ref="O140:P140" si="61">IF($Q137=0,IF($Q136=0,IF($Q135=0,FALSE,O137),O135),O135)</f>
        <v>2.6666666666666665</v>
      </c>
      <c r="P140" s="154">
        <f t="shared" si="61"/>
        <v>3.3333333333333335</v>
      </c>
      <c r="Q140" s="266">
        <f>IF($Q137=0,IF($Q136=0,IF($Q135=0,FALSE,Q137),Q135),Q135)</f>
        <v>-6</v>
      </c>
      <c r="R140" s="266">
        <f t="shared" ref="R140:T140" si="62">IF($Q137=0,IF($Q136=0,IF($Q135=0,FALSE,R137),R135),R135)</f>
        <v>0</v>
      </c>
      <c r="S140" s="82" t="str">
        <f t="shared" si="39"/>
        <v>\\</v>
      </c>
      <c r="T140" s="29">
        <f t="shared" si="62"/>
        <v>-8.6666666666666679</v>
      </c>
      <c r="U140" s="119" t="s">
        <v>49</v>
      </c>
      <c r="V140" s="117" t="s">
        <v>60</v>
      </c>
      <c r="W140" s="117"/>
      <c r="X140" s="117"/>
      <c r="Z140" s="51"/>
    </row>
    <row r="141" spans="2:31" ht="15.75" thickBot="1" x14ac:dyDescent="0.3">
      <c r="B141" s="50"/>
      <c r="C141" s="154">
        <f>IF($D136=0,IF($D137=0,IF($D138=0,FALSE,C138),C137),C136)</f>
        <v>0</v>
      </c>
      <c r="D141" s="80">
        <f>IF($D136=0,IF($D137=0,IF($D138=0,FALSE,D138),D137),D136)</f>
        <v>3</v>
      </c>
      <c r="E141" s="21">
        <f t="shared" ref="E141:H141" si="63">IF($D136=0,IF($D137=0,IF($D138=0,FALSE,E138),E137),E136)</f>
        <v>5</v>
      </c>
      <c r="F141" s="21">
        <f t="shared" si="63"/>
        <v>-5</v>
      </c>
      <c r="G141" s="21" t="s">
        <v>39</v>
      </c>
      <c r="H141" s="30">
        <f t="shared" si="63"/>
        <v>1</v>
      </c>
      <c r="I141" s="2"/>
      <c r="J141" s="2"/>
      <c r="K141" s="2"/>
      <c r="L141" s="2"/>
      <c r="O141" s="32">
        <f t="shared" ref="O141:P141" si="64">IF($Q137=0,IF($Q136=0,IF($Q135=0,FALSE,O136),O137),O136)</f>
        <v>2</v>
      </c>
      <c r="P141" s="83">
        <f t="shared" si="64"/>
        <v>1</v>
      </c>
      <c r="Q141" s="268">
        <f>IF($Q137=0,IF($Q136=0,IF($Q135=0,FALSE,Q136),Q137),Q136)</f>
        <v>-2</v>
      </c>
      <c r="R141" s="267">
        <f t="shared" ref="R141:T141" si="65">IF($Q137=0,IF($Q136=0,IF($Q135=0,FALSE,R136),R137),R136)</f>
        <v>0</v>
      </c>
      <c r="S141" s="152" t="str">
        <f t="shared" si="39"/>
        <v>\\</v>
      </c>
      <c r="T141" s="30">
        <f t="shared" si="65"/>
        <v>-2</v>
      </c>
      <c r="U141" s="2"/>
      <c r="V141" s="2"/>
      <c r="W141" s="2"/>
      <c r="X141" s="2"/>
      <c r="Z141" s="51"/>
    </row>
    <row r="142" spans="2:31" ht="15.75" thickBot="1" x14ac:dyDescent="0.3">
      <c r="B142" s="50"/>
      <c r="C142" s="154">
        <f>IF($D136=0,IF($D137=0,IF($D138=0,FALSE,C137),C136),C137)</f>
        <v>0</v>
      </c>
      <c r="D142" s="154">
        <f>IF($D136=0,IF($D137=0,IF($D138=0,FALSE,D137),D136),D137)</f>
        <v>0</v>
      </c>
      <c r="E142" s="80">
        <f t="shared" ref="E142:H142" si="66">IF($D136=0,IF($D137=0,IF($D138=0,FALSE,E137),E136),E137)</f>
        <v>5</v>
      </c>
      <c r="F142" s="21">
        <f t="shared" si="66"/>
        <v>-2</v>
      </c>
      <c r="G142" s="21" t="s">
        <v>39</v>
      </c>
      <c r="H142" s="30">
        <f t="shared" si="66"/>
        <v>7</v>
      </c>
      <c r="I142" s="2"/>
      <c r="J142" s="2"/>
      <c r="K142" s="2"/>
      <c r="L142" s="2"/>
      <c r="O142" s="32">
        <f t="shared" ref="O142:P142" si="67">IF($Q137=0,IF($Q136=0,IF($Q135=0,FALSE,O135),O136),O137)</f>
        <v>-2.3333333333333335</v>
      </c>
      <c r="P142" s="21">
        <f t="shared" si="67"/>
        <v>-3.6666666666666665</v>
      </c>
      <c r="Q142" s="83">
        <f>IF($Q137=0,IF($Q136=0,IF($Q135=0,FALSE,Q135),Q136),Q137)</f>
        <v>4</v>
      </c>
      <c r="R142" s="268">
        <f t="shared" ref="R142:T142" si="68">IF($Q137=0,IF($Q136=0,IF($Q135=0,FALSE,R135),R136),R137)</f>
        <v>0</v>
      </c>
      <c r="S142" s="152" t="str">
        <f t="shared" si="39"/>
        <v>\\</v>
      </c>
      <c r="T142" s="30">
        <f t="shared" si="68"/>
        <v>2.333333333333333</v>
      </c>
      <c r="U142" s="2"/>
      <c r="V142" s="2"/>
      <c r="W142" s="2"/>
      <c r="X142" s="2"/>
      <c r="Z142" s="51"/>
    </row>
    <row r="143" spans="2:31" ht="15.75" thickBot="1" x14ac:dyDescent="0.3">
      <c r="B143" s="50"/>
      <c r="C143" s="154">
        <f>IF($D136=0,IF($D137=0,IF($D138=0,FALSE,C136),C138),C138)</f>
        <v>0</v>
      </c>
      <c r="D143" s="154">
        <f>IF($D136=0,IF($D137=0,IF($D138=0,FALSE,D136),D138),D138)</f>
        <v>3</v>
      </c>
      <c r="E143" s="154">
        <f t="shared" ref="E143:H143" si="69">IF($D136=0,IF($D137=0,IF($D138=0,FALSE,E136),E138),E138)</f>
        <v>5</v>
      </c>
      <c r="F143" s="78">
        <f t="shared" si="69"/>
        <v>-4</v>
      </c>
      <c r="G143" s="23" t="s">
        <v>39</v>
      </c>
      <c r="H143" s="31">
        <f t="shared" si="69"/>
        <v>5</v>
      </c>
      <c r="I143" s="2"/>
      <c r="J143" s="2"/>
      <c r="K143" s="2"/>
      <c r="L143" s="2"/>
      <c r="O143" s="25">
        <f>O138</f>
        <v>-1</v>
      </c>
      <c r="P143" s="23">
        <f t="shared" ref="P143:T143" si="70">P138</f>
        <v>1</v>
      </c>
      <c r="Q143" s="23">
        <f t="shared" si="70"/>
        <v>6</v>
      </c>
      <c r="R143" s="84">
        <f t="shared" si="70"/>
        <v>-3</v>
      </c>
      <c r="S143" s="23" t="str">
        <f t="shared" si="39"/>
        <v>\\</v>
      </c>
      <c r="T143" s="31">
        <f t="shared" si="70"/>
        <v>7</v>
      </c>
      <c r="U143" s="2"/>
      <c r="V143" s="2"/>
      <c r="W143" s="2"/>
      <c r="X143" s="2"/>
      <c r="Z143" s="51"/>
    </row>
    <row r="144" spans="2:31" ht="15.75" thickBot="1" x14ac:dyDescent="0.3">
      <c r="B144" s="50"/>
      <c r="C144" s="2"/>
      <c r="D144" s="2"/>
      <c r="E144" s="2"/>
      <c r="F144" s="2"/>
      <c r="G144" s="135"/>
      <c r="H144" s="2"/>
      <c r="I144" s="2"/>
      <c r="J144" s="2"/>
      <c r="K144" s="2"/>
      <c r="L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Z144" s="51"/>
    </row>
    <row r="145" spans="2:26" ht="15.75" thickBot="1" x14ac:dyDescent="0.3">
      <c r="B145" s="50"/>
      <c r="C145" s="79">
        <f>C140</f>
        <v>2</v>
      </c>
      <c r="D145" s="22">
        <f t="shared" ref="D145:H145" si="71">D140</f>
        <v>4</v>
      </c>
      <c r="E145" s="22">
        <f t="shared" si="71"/>
        <v>-2</v>
      </c>
      <c r="F145" s="22">
        <f t="shared" si="71"/>
        <v>-2</v>
      </c>
      <c r="G145" s="22" t="s">
        <v>39</v>
      </c>
      <c r="H145" s="29">
        <f t="shared" si="71"/>
        <v>-4</v>
      </c>
      <c r="I145" s="119" t="s">
        <v>49</v>
      </c>
      <c r="J145" s="117" t="s">
        <v>347</v>
      </c>
      <c r="K145" s="2"/>
      <c r="L145" s="2"/>
      <c r="O145" s="81">
        <f t="shared" ref="O145:P145" si="72">O140-((O142/$Q142)*$Q140)</f>
        <v>-0.83333333333333348</v>
      </c>
      <c r="P145" s="154">
        <f t="shared" si="72"/>
        <v>-2.1666666666666665</v>
      </c>
      <c r="Q145" s="266">
        <f>Q140-((Q142/$Q142)*$Q140)</f>
        <v>0</v>
      </c>
      <c r="R145" s="266">
        <f t="shared" ref="R145:T145" si="73">R140-((R142/$Q142)*$Q140)</f>
        <v>0</v>
      </c>
      <c r="S145" s="82" t="str">
        <f t="shared" si="39"/>
        <v>\\</v>
      </c>
      <c r="T145" s="29">
        <f t="shared" si="73"/>
        <v>-5.1666666666666679</v>
      </c>
      <c r="U145" s="119" t="s">
        <v>49</v>
      </c>
      <c r="V145" s="117" t="s">
        <v>66</v>
      </c>
      <c r="W145" s="2"/>
      <c r="X145" s="2"/>
      <c r="Z145" s="51"/>
    </row>
    <row r="146" spans="2:26" ht="15.75" thickBot="1" x14ac:dyDescent="0.3">
      <c r="B146" s="50"/>
      <c r="C146" s="154">
        <f>C141</f>
        <v>0</v>
      </c>
      <c r="D146" s="80">
        <f t="shared" ref="D146:H146" si="74">D141</f>
        <v>3</v>
      </c>
      <c r="E146" s="21">
        <f t="shared" si="74"/>
        <v>5</v>
      </c>
      <c r="F146" s="21">
        <f t="shared" si="74"/>
        <v>-5</v>
      </c>
      <c r="G146" s="21" t="s">
        <v>39</v>
      </c>
      <c r="H146" s="30">
        <f t="shared" si="74"/>
        <v>1</v>
      </c>
      <c r="I146" s="2"/>
      <c r="J146" s="2"/>
      <c r="K146" s="2"/>
      <c r="L146" s="2"/>
      <c r="O146" s="32">
        <f t="shared" ref="O146:P146" si="75">O141-((O142/$Q142)*$Q141)</f>
        <v>0.83333333333333326</v>
      </c>
      <c r="P146" s="83">
        <f t="shared" si="75"/>
        <v>-0.83333333333333326</v>
      </c>
      <c r="Q146" s="268">
        <f>Q141-((Q142/$Q142)*$Q141)</f>
        <v>0</v>
      </c>
      <c r="R146" s="267">
        <f t="shared" ref="R146:T146" si="76">R141-((R142/$Q142)*$Q141)</f>
        <v>0</v>
      </c>
      <c r="S146" s="152" t="str">
        <f t="shared" si="39"/>
        <v>\\</v>
      </c>
      <c r="T146" s="30">
        <f t="shared" si="76"/>
        <v>-0.83333333333333348</v>
      </c>
      <c r="U146" s="2"/>
      <c r="V146" s="2"/>
      <c r="W146" s="2"/>
      <c r="X146" s="2"/>
      <c r="Z146" s="51"/>
    </row>
    <row r="147" spans="2:26" ht="15.75" thickBot="1" x14ac:dyDescent="0.3">
      <c r="B147" s="50"/>
      <c r="C147" s="154">
        <f>C142-((C141/$D141)*$D142 )</f>
        <v>0</v>
      </c>
      <c r="D147" s="154">
        <f>D142-((D141/$D141)*$D142 )</f>
        <v>0</v>
      </c>
      <c r="E147" s="80">
        <f t="shared" ref="E147:H147" si="77">E142-((E141/$D141)*$D142 )</f>
        <v>5</v>
      </c>
      <c r="F147" s="21">
        <f t="shared" si="77"/>
        <v>-2</v>
      </c>
      <c r="G147" s="21" t="s">
        <v>39</v>
      </c>
      <c r="H147" s="30">
        <f t="shared" si="77"/>
        <v>7</v>
      </c>
      <c r="I147" s="2"/>
      <c r="J147" s="2"/>
      <c r="K147" s="2"/>
      <c r="L147" s="2"/>
      <c r="O147" s="32">
        <f>O142</f>
        <v>-2.3333333333333335</v>
      </c>
      <c r="P147" s="21">
        <f t="shared" ref="P147:T147" si="78">P142</f>
        <v>-3.6666666666666665</v>
      </c>
      <c r="Q147" s="83">
        <f t="shared" si="78"/>
        <v>4</v>
      </c>
      <c r="R147" s="268">
        <f t="shared" si="78"/>
        <v>0</v>
      </c>
      <c r="S147" s="152" t="str">
        <f t="shared" si="39"/>
        <v>\\</v>
      </c>
      <c r="T147" s="30">
        <f t="shared" si="78"/>
        <v>2.333333333333333</v>
      </c>
      <c r="U147" s="2"/>
      <c r="V147" s="2"/>
      <c r="W147" s="2"/>
      <c r="X147" s="2"/>
      <c r="Z147" s="51"/>
    </row>
    <row r="148" spans="2:26" ht="15.75" thickBot="1" x14ac:dyDescent="0.3">
      <c r="B148" s="50"/>
      <c r="C148" s="154">
        <f>C143-((C141/$D141)*$D143)</f>
        <v>0</v>
      </c>
      <c r="D148" s="154">
        <f>D143-((D141/$D141)*$D143)</f>
        <v>0</v>
      </c>
      <c r="E148" s="154">
        <f t="shared" ref="E148:H148" si="79">E143-((E141/$D141)*$D143)</f>
        <v>0</v>
      </c>
      <c r="F148" s="78">
        <f t="shared" si="79"/>
        <v>1</v>
      </c>
      <c r="G148" s="23" t="s">
        <v>39</v>
      </c>
      <c r="H148" s="31">
        <f t="shared" si="79"/>
        <v>4</v>
      </c>
      <c r="I148" s="2"/>
      <c r="J148" s="2"/>
      <c r="K148" s="2"/>
      <c r="L148" s="2"/>
      <c r="O148" s="25">
        <f>O143</f>
        <v>-1</v>
      </c>
      <c r="P148" s="23">
        <f t="shared" ref="P148:T148" si="80">P143</f>
        <v>1</v>
      </c>
      <c r="Q148" s="23">
        <f t="shared" si="80"/>
        <v>6</v>
      </c>
      <c r="R148" s="84">
        <f t="shared" si="80"/>
        <v>-3</v>
      </c>
      <c r="S148" s="23" t="str">
        <f t="shared" si="39"/>
        <v>\\</v>
      </c>
      <c r="T148" s="31">
        <f t="shared" si="80"/>
        <v>7</v>
      </c>
      <c r="U148" s="2"/>
      <c r="V148" s="2"/>
      <c r="W148" s="2"/>
      <c r="X148" s="2"/>
      <c r="Z148" s="51"/>
    </row>
    <row r="149" spans="2:26" ht="15.75" thickBot="1" x14ac:dyDescent="0.3">
      <c r="B149" s="50"/>
      <c r="C149" s="2"/>
      <c r="D149" s="2"/>
      <c r="E149" s="2"/>
      <c r="F149" s="2"/>
      <c r="G149" s="135"/>
      <c r="H149" s="2"/>
      <c r="I149" s="2"/>
      <c r="J149" s="2"/>
      <c r="K149" s="2"/>
      <c r="L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Z149" s="51"/>
    </row>
    <row r="150" spans="2:26" ht="15.75" thickBot="1" x14ac:dyDescent="0.3">
      <c r="B150" s="50"/>
      <c r="C150" s="79">
        <f>C145</f>
        <v>2</v>
      </c>
      <c r="D150" s="22">
        <f t="shared" ref="D150:H150" si="81">D145</f>
        <v>4</v>
      </c>
      <c r="E150" s="22">
        <f t="shared" si="81"/>
        <v>-2</v>
      </c>
      <c r="F150" s="22">
        <f t="shared" si="81"/>
        <v>-2</v>
      </c>
      <c r="G150" s="22" t="s">
        <v>39</v>
      </c>
      <c r="H150" s="29">
        <f t="shared" si="81"/>
        <v>-4</v>
      </c>
      <c r="I150" s="119" t="s">
        <v>49</v>
      </c>
      <c r="J150" s="117" t="s">
        <v>60</v>
      </c>
      <c r="K150" s="2"/>
      <c r="L150" s="2"/>
      <c r="O150" s="81">
        <f>IF($P146=0,IF($P145=0,FALSE,O146),O145)</f>
        <v>-0.83333333333333348</v>
      </c>
      <c r="P150" s="154">
        <f>IF($P146=0,IF($P145=0,FALSE,P146),P145)</f>
        <v>-2.1666666666666665</v>
      </c>
      <c r="Q150" s="266">
        <f t="shared" ref="Q150:T150" si="82">IF($P146=0,IF($P145=0,FALSE,Q146),Q145)</f>
        <v>0</v>
      </c>
      <c r="R150" s="266">
        <f t="shared" si="82"/>
        <v>0</v>
      </c>
      <c r="S150" s="82" t="str">
        <f t="shared" si="39"/>
        <v>\\</v>
      </c>
      <c r="T150" s="29">
        <f t="shared" si="82"/>
        <v>-5.1666666666666679</v>
      </c>
      <c r="U150" s="119" t="s">
        <v>49</v>
      </c>
      <c r="V150" s="117" t="s">
        <v>346</v>
      </c>
      <c r="W150" s="2"/>
      <c r="X150" s="2"/>
      <c r="Z150" s="51"/>
    </row>
    <row r="151" spans="2:26" ht="15.75" thickBot="1" x14ac:dyDescent="0.3">
      <c r="B151" s="50"/>
      <c r="C151" s="154">
        <f>C146</f>
        <v>0</v>
      </c>
      <c r="D151" s="80">
        <f t="shared" ref="D151:H151" si="83">D146</f>
        <v>3</v>
      </c>
      <c r="E151" s="21">
        <f t="shared" si="83"/>
        <v>5</v>
      </c>
      <c r="F151" s="21">
        <f t="shared" si="83"/>
        <v>-5</v>
      </c>
      <c r="G151" s="21" t="s">
        <v>39</v>
      </c>
      <c r="H151" s="30">
        <f t="shared" si="83"/>
        <v>1</v>
      </c>
      <c r="I151" s="2"/>
      <c r="J151" s="2"/>
      <c r="K151" s="2"/>
      <c r="L151" s="2"/>
      <c r="O151" s="32">
        <f>IF($P146=0,IF($P145=0,FALSE,O145),O146)</f>
        <v>0.83333333333333326</v>
      </c>
      <c r="P151" s="83">
        <f>IF($P146=0,IF($P145=0,FALSE,P145),P146)</f>
        <v>-0.83333333333333326</v>
      </c>
      <c r="Q151" s="268">
        <f t="shared" ref="Q151:T151" si="84">IF($P146=0,IF($P145=0,FALSE,Q145),Q146)</f>
        <v>0</v>
      </c>
      <c r="R151" s="267">
        <f t="shared" si="84"/>
        <v>0</v>
      </c>
      <c r="S151" s="152" t="str">
        <f t="shared" si="39"/>
        <v>\\</v>
      </c>
      <c r="T151" s="30">
        <f t="shared" si="84"/>
        <v>-0.83333333333333348</v>
      </c>
      <c r="U151" s="2"/>
      <c r="V151" s="2"/>
      <c r="W151" s="2"/>
      <c r="X151" s="2"/>
      <c r="Z151" s="51"/>
    </row>
    <row r="152" spans="2:26" ht="15.75" thickBot="1" x14ac:dyDescent="0.3">
      <c r="B152" s="50"/>
      <c r="C152" s="154">
        <f>IF($E147=0,IF($E148=0,FALSE,C148),C147)</f>
        <v>0</v>
      </c>
      <c r="D152" s="154">
        <f>IF($E147=0,IF($E148=0,FALSE,D148),D147)</f>
        <v>0</v>
      </c>
      <c r="E152" s="80">
        <f>IF($E147=0,IF($E148=0,FALSE,E148),E147)</f>
        <v>5</v>
      </c>
      <c r="F152" s="21">
        <f>IF($E147=0,IF($E148=0,FALSE,F148),F147)</f>
        <v>-2</v>
      </c>
      <c r="G152" s="21" t="s">
        <v>39</v>
      </c>
      <c r="H152" s="30">
        <f>IF($E147=0,IF($E148=0,FALSE,H148),H147)</f>
        <v>7</v>
      </c>
      <c r="I152" s="2"/>
      <c r="J152" s="2"/>
      <c r="K152" s="2"/>
      <c r="L152" s="2"/>
      <c r="O152" s="32">
        <f>O147</f>
        <v>-2.3333333333333335</v>
      </c>
      <c r="P152" s="21">
        <f t="shared" ref="P152:T152" si="85">P147</f>
        <v>-3.6666666666666665</v>
      </c>
      <c r="Q152" s="83">
        <f t="shared" si="85"/>
        <v>4</v>
      </c>
      <c r="R152" s="268">
        <f t="shared" si="85"/>
        <v>0</v>
      </c>
      <c r="S152" s="152" t="str">
        <f t="shared" si="39"/>
        <v>\\</v>
      </c>
      <c r="T152" s="30">
        <f t="shared" si="85"/>
        <v>2.333333333333333</v>
      </c>
      <c r="U152" s="2"/>
      <c r="V152" s="2"/>
      <c r="W152" s="2"/>
      <c r="X152" s="2"/>
      <c r="Z152" s="51"/>
    </row>
    <row r="153" spans="2:26" ht="15.75" thickBot="1" x14ac:dyDescent="0.3">
      <c r="B153" s="50"/>
      <c r="C153" s="154">
        <f t="shared" ref="C153:D153" si="86">IF($E147=0,IF($E148=0,FALSE,C147),C148)</f>
        <v>0</v>
      </c>
      <c r="D153" s="154">
        <f t="shared" si="86"/>
        <v>0</v>
      </c>
      <c r="E153" s="154">
        <f>IF($E147=0,IF($E148=0,FALSE,E147),E148)</f>
        <v>0</v>
      </c>
      <c r="F153" s="78">
        <f t="shared" ref="F153:H153" si="87">IF($E147=0,IF($E148=0,FALSE,F147),F148)</f>
        <v>1</v>
      </c>
      <c r="G153" s="23" t="s">
        <v>39</v>
      </c>
      <c r="H153" s="31">
        <f t="shared" si="87"/>
        <v>4</v>
      </c>
      <c r="I153" s="2"/>
      <c r="J153" s="2"/>
      <c r="K153" s="2"/>
      <c r="L153" s="2"/>
      <c r="O153" s="25">
        <f>O148</f>
        <v>-1</v>
      </c>
      <c r="P153" s="23">
        <f t="shared" ref="P153:T153" si="88">P148</f>
        <v>1</v>
      </c>
      <c r="Q153" s="23">
        <f t="shared" si="88"/>
        <v>6</v>
      </c>
      <c r="R153" s="84">
        <f t="shared" si="88"/>
        <v>-3</v>
      </c>
      <c r="S153" s="23" t="str">
        <f t="shared" si="39"/>
        <v>\\</v>
      </c>
      <c r="T153" s="31">
        <f t="shared" si="88"/>
        <v>7</v>
      </c>
      <c r="U153" s="2"/>
      <c r="V153" s="2"/>
      <c r="W153" s="2"/>
      <c r="X153" s="2"/>
      <c r="Z153" s="51"/>
    </row>
    <row r="154" spans="2:26" ht="15.75" thickBot="1" x14ac:dyDescent="0.3">
      <c r="B154" s="50"/>
      <c r="C154" s="2"/>
      <c r="D154" s="2"/>
      <c r="E154" s="2"/>
      <c r="F154" s="2"/>
      <c r="G154" s="135"/>
      <c r="H154" s="2"/>
      <c r="I154" s="2"/>
      <c r="J154" s="2"/>
      <c r="K154" s="2"/>
      <c r="L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Z154" s="51"/>
    </row>
    <row r="155" spans="2:26" ht="15.75" thickBot="1" x14ac:dyDescent="0.3">
      <c r="B155" s="50"/>
      <c r="C155" s="132">
        <f>C150</f>
        <v>2</v>
      </c>
      <c r="D155" s="132">
        <f t="shared" ref="D155:H155" si="89">D150</f>
        <v>4</v>
      </c>
      <c r="E155" s="132">
        <f t="shared" si="89"/>
        <v>-2</v>
      </c>
      <c r="F155" s="132">
        <f t="shared" si="89"/>
        <v>-2</v>
      </c>
      <c r="G155" s="132" t="s">
        <v>39</v>
      </c>
      <c r="H155" s="261">
        <f t="shared" si="89"/>
        <v>-4</v>
      </c>
      <c r="I155" s="119" t="s">
        <v>49</v>
      </c>
      <c r="J155" s="117" t="s">
        <v>348</v>
      </c>
      <c r="K155" s="2"/>
      <c r="L155" s="2"/>
      <c r="O155" s="261">
        <f>O150-((O151/$P151)*$P150)</f>
        <v>-3</v>
      </c>
      <c r="P155" s="16">
        <f>P150-((P151/$P151)*$P150)</f>
        <v>0</v>
      </c>
      <c r="Q155" s="77">
        <f t="shared" ref="Q155:T155" si="90">Q150-((Q151/$P151)*$P150)</f>
        <v>0</v>
      </c>
      <c r="R155" s="69">
        <f t="shared" si="90"/>
        <v>0</v>
      </c>
      <c r="S155" s="261" t="str">
        <f t="shared" si="39"/>
        <v>\\</v>
      </c>
      <c r="T155" s="261">
        <f t="shared" si="90"/>
        <v>-3.0000000000000009</v>
      </c>
      <c r="U155" s="119" t="s">
        <v>49</v>
      </c>
      <c r="V155" s="117" t="s">
        <v>350</v>
      </c>
      <c r="W155" s="2"/>
      <c r="X155" s="2"/>
      <c r="Z155" s="51"/>
    </row>
    <row r="156" spans="2:26" ht="15.75" thickBot="1" x14ac:dyDescent="0.3">
      <c r="B156" s="50"/>
      <c r="C156" s="17">
        <f>C151</f>
        <v>0</v>
      </c>
      <c r="D156" s="132">
        <f t="shared" ref="D156:H156" si="91">D151</f>
        <v>3</v>
      </c>
      <c r="E156" s="132">
        <f t="shared" si="91"/>
        <v>5</v>
      </c>
      <c r="F156" s="132">
        <f t="shared" si="91"/>
        <v>-5</v>
      </c>
      <c r="G156" s="132" t="s">
        <v>39</v>
      </c>
      <c r="H156" s="262">
        <f t="shared" si="91"/>
        <v>1</v>
      </c>
      <c r="I156" s="2"/>
      <c r="J156" s="2"/>
      <c r="K156" s="2"/>
      <c r="L156" s="2"/>
      <c r="O156" s="263">
        <f>O151</f>
        <v>0.83333333333333326</v>
      </c>
      <c r="P156" s="261">
        <f t="shared" ref="P156:T156" si="92">P151</f>
        <v>-0.83333333333333326</v>
      </c>
      <c r="Q156" s="16">
        <f t="shared" si="92"/>
        <v>0</v>
      </c>
      <c r="R156" s="69">
        <f t="shared" si="92"/>
        <v>0</v>
      </c>
      <c r="S156" s="262" t="str">
        <f t="shared" si="39"/>
        <v>\\</v>
      </c>
      <c r="T156" s="262">
        <f t="shared" si="92"/>
        <v>-0.83333333333333348</v>
      </c>
      <c r="U156" s="2"/>
      <c r="V156" s="2"/>
      <c r="W156" s="2"/>
      <c r="X156" s="2"/>
      <c r="Z156" s="51"/>
    </row>
    <row r="157" spans="2:26" ht="15.75" thickBot="1" x14ac:dyDescent="0.3">
      <c r="B157" s="50"/>
      <c r="C157" s="77">
        <f>C152</f>
        <v>0</v>
      </c>
      <c r="D157" s="17">
        <f t="shared" ref="D157:H157" si="93">D152</f>
        <v>0</v>
      </c>
      <c r="E157" s="132">
        <f t="shared" si="93"/>
        <v>5</v>
      </c>
      <c r="F157" s="132">
        <f t="shared" si="93"/>
        <v>-2</v>
      </c>
      <c r="G157" s="132" t="s">
        <v>39</v>
      </c>
      <c r="H157" s="262">
        <f t="shared" si="93"/>
        <v>7</v>
      </c>
      <c r="I157" s="2"/>
      <c r="J157" s="2"/>
      <c r="K157" s="2"/>
      <c r="L157" s="2"/>
      <c r="O157" s="261">
        <f t="shared" ref="O157:T158" si="94">O152</f>
        <v>-2.3333333333333335</v>
      </c>
      <c r="P157" s="262">
        <f t="shared" si="94"/>
        <v>-3.6666666666666665</v>
      </c>
      <c r="Q157" s="261">
        <f t="shared" si="94"/>
        <v>4</v>
      </c>
      <c r="R157" s="15">
        <f t="shared" si="94"/>
        <v>0</v>
      </c>
      <c r="S157" s="263" t="str">
        <f t="shared" si="39"/>
        <v>\\</v>
      </c>
      <c r="T157" s="263">
        <f t="shared" si="94"/>
        <v>2.333333333333333</v>
      </c>
      <c r="U157" s="2"/>
      <c r="V157" s="2"/>
      <c r="W157" s="2"/>
      <c r="X157" s="2"/>
      <c r="Z157" s="51"/>
    </row>
    <row r="158" spans="2:26" ht="15.75" thickBot="1" x14ac:dyDescent="0.3">
      <c r="B158" s="50"/>
      <c r="C158" s="77">
        <f t="shared" ref="C158:D158" si="95">C153-((C152/$E152)*$E153)</f>
        <v>0</v>
      </c>
      <c r="D158" s="77">
        <f t="shared" si="95"/>
        <v>0</v>
      </c>
      <c r="E158" s="17">
        <f>E153-((E152/$E152)*$E153)</f>
        <v>0</v>
      </c>
      <c r="F158" s="132">
        <f t="shared" ref="F158:H158" si="96">F153-((F152/$E152)*$E153)</f>
        <v>1</v>
      </c>
      <c r="G158" s="132" t="s">
        <v>39</v>
      </c>
      <c r="H158" s="263">
        <f t="shared" si="96"/>
        <v>4</v>
      </c>
      <c r="I158" s="2"/>
      <c r="J158" s="2"/>
      <c r="K158" s="2"/>
      <c r="L158" s="2"/>
      <c r="O158" s="263">
        <f t="shared" si="94"/>
        <v>-1</v>
      </c>
      <c r="P158" s="263">
        <f t="shared" si="94"/>
        <v>1</v>
      </c>
      <c r="Q158" s="263">
        <f t="shared" si="94"/>
        <v>6</v>
      </c>
      <c r="R158" s="264">
        <f t="shared" si="94"/>
        <v>-3</v>
      </c>
      <c r="S158" s="265" t="str">
        <f t="shared" si="39"/>
        <v>\\</v>
      </c>
      <c r="T158" s="132">
        <f t="shared" si="94"/>
        <v>7</v>
      </c>
      <c r="U158" s="2"/>
      <c r="V158" s="2"/>
      <c r="W158" s="2"/>
      <c r="X158" s="2"/>
      <c r="Z158" s="51"/>
    </row>
    <row r="159" spans="2:26" x14ac:dyDescent="0.25">
      <c r="B159" s="50"/>
      <c r="C159" s="2"/>
      <c r="D159" s="2"/>
      <c r="E159" s="2"/>
      <c r="F159" s="2"/>
      <c r="G159" s="2"/>
      <c r="H159" s="2"/>
      <c r="I159" s="2"/>
      <c r="J159" s="2"/>
      <c r="K159" s="2"/>
      <c r="L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Z159" s="51"/>
    </row>
    <row r="160" spans="2:26" ht="15.75" thickBot="1" x14ac:dyDescent="0.3">
      <c r="B160" s="50"/>
      <c r="C160" s="2"/>
      <c r="D160" s="2"/>
      <c r="E160" s="2"/>
      <c r="F160" s="2"/>
      <c r="G160" s="2"/>
      <c r="H160" s="2"/>
      <c r="I160" s="2"/>
      <c r="J160" s="2"/>
      <c r="K160" s="2"/>
      <c r="L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Z160" s="51"/>
    </row>
    <row r="161" spans="2:26" ht="15.75" thickBot="1" x14ac:dyDescent="0.3">
      <c r="B161" s="50"/>
      <c r="C161" s="284">
        <f t="shared" ref="C161:F164" si="97">C155</f>
        <v>2</v>
      </c>
      <c r="D161" s="284">
        <f t="shared" si="97"/>
        <v>4</v>
      </c>
      <c r="E161" s="284">
        <f t="shared" si="97"/>
        <v>-2</v>
      </c>
      <c r="F161" s="284">
        <f t="shared" si="97"/>
        <v>-2</v>
      </c>
      <c r="G161" s="412" t="s">
        <v>236</v>
      </c>
      <c r="H161" s="412"/>
      <c r="I161" s="284" t="str">
        <f>P116</f>
        <v>a</v>
      </c>
      <c r="J161" s="412" t="str">
        <f>Q116</f>
        <v>=</v>
      </c>
      <c r="K161" s="284">
        <f t="shared" ref="K161:K164" si="98">H155</f>
        <v>-4</v>
      </c>
      <c r="L161" s="2"/>
      <c r="O161" s="284">
        <f t="shared" ref="O161:R164" si="99">O155</f>
        <v>-3</v>
      </c>
      <c r="P161" s="16">
        <f t="shared" si="99"/>
        <v>0</v>
      </c>
      <c r="Q161" s="77">
        <f t="shared" si="99"/>
        <v>0</v>
      </c>
      <c r="R161" s="77">
        <f t="shared" si="99"/>
        <v>0</v>
      </c>
      <c r="S161" s="425" t="s">
        <v>30</v>
      </c>
      <c r="T161" s="425"/>
      <c r="U161" s="284" t="str">
        <f>P116</f>
        <v>a</v>
      </c>
      <c r="V161" s="412" t="str">
        <f>Q116</f>
        <v>=</v>
      </c>
      <c r="W161" s="284">
        <f t="shared" ref="W161:W164" si="100">T155</f>
        <v>-3.0000000000000009</v>
      </c>
      <c r="X161" s="2"/>
      <c r="Z161" s="51"/>
    </row>
    <row r="162" spans="2:26" ht="15.75" thickBot="1" x14ac:dyDescent="0.3">
      <c r="B162" s="50"/>
      <c r="C162" s="17">
        <f t="shared" si="97"/>
        <v>0</v>
      </c>
      <c r="D162" s="284">
        <f t="shared" si="97"/>
        <v>3</v>
      </c>
      <c r="E162" s="284">
        <f t="shared" si="97"/>
        <v>5</v>
      </c>
      <c r="F162" s="284">
        <f t="shared" si="97"/>
        <v>-5</v>
      </c>
      <c r="G162" s="412"/>
      <c r="H162" s="412"/>
      <c r="I162" s="284" t="str">
        <f>P117</f>
        <v>b</v>
      </c>
      <c r="J162" s="412"/>
      <c r="K162" s="284">
        <f t="shared" si="98"/>
        <v>1</v>
      </c>
      <c r="L162" s="2"/>
      <c r="O162" s="284">
        <f t="shared" si="99"/>
        <v>0.83333333333333326</v>
      </c>
      <c r="P162" s="284">
        <f t="shared" si="99"/>
        <v>-0.83333333333333326</v>
      </c>
      <c r="Q162" s="16">
        <f t="shared" si="99"/>
        <v>0</v>
      </c>
      <c r="R162" s="77">
        <f t="shared" si="99"/>
        <v>0</v>
      </c>
      <c r="S162" s="425"/>
      <c r="T162" s="425"/>
      <c r="U162" s="284" t="str">
        <f>P117</f>
        <v>b</v>
      </c>
      <c r="V162" s="412"/>
      <c r="W162" s="284">
        <f t="shared" si="100"/>
        <v>-0.83333333333333348</v>
      </c>
      <c r="X162" s="2"/>
      <c r="Z162" s="51"/>
    </row>
    <row r="163" spans="2:26" ht="15.75" thickBot="1" x14ac:dyDescent="0.3">
      <c r="B163" s="50"/>
      <c r="C163" s="77">
        <f t="shared" si="97"/>
        <v>0</v>
      </c>
      <c r="D163" s="17">
        <f t="shared" si="97"/>
        <v>0</v>
      </c>
      <c r="E163" s="284">
        <f t="shared" si="97"/>
        <v>5</v>
      </c>
      <c r="F163" s="284">
        <f t="shared" si="97"/>
        <v>-2</v>
      </c>
      <c r="G163" s="412"/>
      <c r="H163" s="412"/>
      <c r="I163" s="284" t="str">
        <f>P118</f>
        <v>c</v>
      </c>
      <c r="J163" s="412"/>
      <c r="K163" s="284">
        <f t="shared" si="98"/>
        <v>7</v>
      </c>
      <c r="L163" s="2"/>
      <c r="O163" s="284">
        <f t="shared" si="99"/>
        <v>-2.3333333333333335</v>
      </c>
      <c r="P163" s="284">
        <f t="shared" si="99"/>
        <v>-3.6666666666666665</v>
      </c>
      <c r="Q163" s="284">
        <f t="shared" si="99"/>
        <v>4</v>
      </c>
      <c r="R163" s="16">
        <f t="shared" si="99"/>
        <v>0</v>
      </c>
      <c r="S163" s="425"/>
      <c r="T163" s="425"/>
      <c r="U163" s="284" t="str">
        <f>P118</f>
        <v>c</v>
      </c>
      <c r="V163" s="412"/>
      <c r="W163" s="284">
        <f t="shared" si="100"/>
        <v>2.333333333333333</v>
      </c>
      <c r="X163" s="2"/>
      <c r="Z163" s="51"/>
    </row>
    <row r="164" spans="2:26" ht="15.75" thickBot="1" x14ac:dyDescent="0.3">
      <c r="B164" s="50"/>
      <c r="C164" s="77">
        <f t="shared" si="97"/>
        <v>0</v>
      </c>
      <c r="D164" s="77">
        <f t="shared" si="97"/>
        <v>0</v>
      </c>
      <c r="E164" s="17">
        <f t="shared" si="97"/>
        <v>0</v>
      </c>
      <c r="F164" s="284">
        <f t="shared" si="97"/>
        <v>1</v>
      </c>
      <c r="G164" s="412"/>
      <c r="H164" s="412"/>
      <c r="I164" s="284" t="str">
        <f>P119</f>
        <v>d</v>
      </c>
      <c r="J164" s="412"/>
      <c r="K164" s="284">
        <f t="shared" si="98"/>
        <v>4</v>
      </c>
      <c r="L164" s="2"/>
      <c r="O164" s="284">
        <f t="shared" si="99"/>
        <v>-1</v>
      </c>
      <c r="P164" s="284">
        <f t="shared" si="99"/>
        <v>1</v>
      </c>
      <c r="Q164" s="284">
        <f t="shared" si="99"/>
        <v>6</v>
      </c>
      <c r="R164" s="284">
        <f t="shared" si="99"/>
        <v>-3</v>
      </c>
      <c r="S164" s="425"/>
      <c r="T164" s="425"/>
      <c r="U164" s="284" t="str">
        <f>P119</f>
        <v>d</v>
      </c>
      <c r="V164" s="412"/>
      <c r="W164" s="284">
        <f t="shared" si="100"/>
        <v>7</v>
      </c>
      <c r="X164" s="2"/>
      <c r="Z164" s="51"/>
    </row>
    <row r="165" spans="2:26" x14ac:dyDescent="0.25">
      <c r="B165" s="50"/>
      <c r="C165" s="2"/>
      <c r="D165" s="2"/>
      <c r="E165" s="2"/>
      <c r="F165" s="2"/>
      <c r="G165" s="2"/>
      <c r="H165" s="2"/>
      <c r="I165" s="2"/>
      <c r="J165" s="2"/>
      <c r="K165" s="2"/>
      <c r="L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Z165" s="51"/>
    </row>
    <row r="166" spans="2:26" ht="15.75" thickBot="1" x14ac:dyDescent="0.3">
      <c r="B166" s="50"/>
      <c r="C166" s="2"/>
      <c r="D166" s="2"/>
      <c r="E166" s="2"/>
      <c r="F166" s="2"/>
      <c r="G166" s="2"/>
      <c r="H166" s="2"/>
      <c r="I166" s="2"/>
      <c r="J166" s="2"/>
      <c r="K166" s="2"/>
      <c r="L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Z166" s="51"/>
    </row>
    <row r="167" spans="2:26" x14ac:dyDescent="0.25">
      <c r="B167" s="50"/>
      <c r="C167" s="2"/>
      <c r="D167" s="2"/>
      <c r="E167" s="14" t="str">
        <f>I164</f>
        <v>d</v>
      </c>
      <c r="F167" s="15" t="s">
        <v>32</v>
      </c>
      <c r="G167" s="16">
        <f>K164/F164</f>
        <v>4</v>
      </c>
      <c r="H167" s="119" t="s">
        <v>49</v>
      </c>
      <c r="I167" s="117" t="s">
        <v>351</v>
      </c>
      <c r="J167" s="2"/>
      <c r="K167" s="2"/>
      <c r="L167" s="2"/>
      <c r="O167" s="2"/>
      <c r="P167" s="2"/>
      <c r="Q167" s="14" t="str">
        <f>U161</f>
        <v>a</v>
      </c>
      <c r="R167" s="15" t="s">
        <v>32</v>
      </c>
      <c r="S167" s="16">
        <f>W161/O161</f>
        <v>1.0000000000000002</v>
      </c>
      <c r="T167" s="119" t="s">
        <v>49</v>
      </c>
      <c r="U167" s="117" t="s">
        <v>61</v>
      </c>
      <c r="V167" s="2"/>
      <c r="W167" s="2"/>
      <c r="X167" s="2"/>
      <c r="Z167" s="51"/>
    </row>
    <row r="168" spans="2:26" x14ac:dyDescent="0.25">
      <c r="B168" s="50"/>
      <c r="C168" s="2"/>
      <c r="D168" s="2"/>
      <c r="E168" s="27" t="str">
        <f>I163</f>
        <v>c</v>
      </c>
      <c r="F168" s="26" t="s">
        <v>32</v>
      </c>
      <c r="G168" s="28">
        <f>(K163-(F163*G167))/E163</f>
        <v>3</v>
      </c>
      <c r="H168" s="119" t="s">
        <v>49</v>
      </c>
      <c r="I168" s="117" t="s">
        <v>352</v>
      </c>
      <c r="J168" s="2"/>
      <c r="K168" s="2"/>
      <c r="L168" s="2"/>
      <c r="O168" s="2"/>
      <c r="P168" s="2"/>
      <c r="Q168" s="27" t="str">
        <f>U162</f>
        <v>b</v>
      </c>
      <c r="R168" s="26" t="s">
        <v>32</v>
      </c>
      <c r="S168" s="28">
        <f>(W162-(O162*S167))/P162</f>
        <v>2.0000000000000004</v>
      </c>
      <c r="T168" s="119" t="s">
        <v>49</v>
      </c>
      <c r="U168" s="117" t="s">
        <v>62</v>
      </c>
      <c r="V168" s="2"/>
      <c r="W168" s="2"/>
      <c r="X168" s="2"/>
      <c r="Z168" s="51"/>
    </row>
    <row r="169" spans="2:26" x14ac:dyDescent="0.25">
      <c r="B169" s="50"/>
      <c r="C169" s="2"/>
      <c r="D169" s="2"/>
      <c r="E169" s="27" t="str">
        <f>I162</f>
        <v>b</v>
      </c>
      <c r="F169" s="26" t="s">
        <v>32</v>
      </c>
      <c r="G169" s="28">
        <f>(K162-(E162*G168)-(F162*G167))/D162</f>
        <v>2</v>
      </c>
      <c r="H169" s="119" t="s">
        <v>49</v>
      </c>
      <c r="I169" s="117" t="s">
        <v>353</v>
      </c>
      <c r="J169" s="2"/>
      <c r="K169" s="2"/>
      <c r="L169" s="2"/>
      <c r="O169" s="2"/>
      <c r="P169" s="2"/>
      <c r="Q169" s="27" t="str">
        <f>U163</f>
        <v>c</v>
      </c>
      <c r="R169" s="26" t="s">
        <v>32</v>
      </c>
      <c r="S169" s="28">
        <f>(W163-(O163*S167)-(P163*S168))/Q163</f>
        <v>3.0000000000000004</v>
      </c>
      <c r="T169" s="119" t="s">
        <v>49</v>
      </c>
      <c r="U169" s="117" t="s">
        <v>355</v>
      </c>
      <c r="V169" s="2"/>
      <c r="W169" s="2"/>
      <c r="X169" s="2"/>
      <c r="Z169" s="51"/>
    </row>
    <row r="170" spans="2:26" ht="15.75" thickBot="1" x14ac:dyDescent="0.3">
      <c r="B170" s="50"/>
      <c r="C170" s="2"/>
      <c r="D170" s="2"/>
      <c r="E170" s="17" t="str">
        <f>I161</f>
        <v>a</v>
      </c>
      <c r="F170" s="18" t="s">
        <v>32</v>
      </c>
      <c r="G170" s="19">
        <f>(K161-(F161*G167)-(E161*G168)-(D161*G169))/C161</f>
        <v>1</v>
      </c>
      <c r="H170" s="119" t="s">
        <v>49</v>
      </c>
      <c r="I170" s="117" t="s">
        <v>354</v>
      </c>
      <c r="J170" s="2"/>
      <c r="K170" s="2"/>
      <c r="L170" s="2"/>
      <c r="O170" s="2"/>
      <c r="P170" s="2"/>
      <c r="Q170" s="17" t="str">
        <f>U164</f>
        <v>d</v>
      </c>
      <c r="R170" s="18" t="s">
        <v>32</v>
      </c>
      <c r="S170" s="19">
        <f>(W164-(O164*S167)-(P164*S168)-(Q164*S169))/R164</f>
        <v>4.0000000000000009</v>
      </c>
      <c r="T170" s="119" t="s">
        <v>49</v>
      </c>
      <c r="U170" s="117" t="s">
        <v>356</v>
      </c>
      <c r="V170" s="2"/>
      <c r="W170" s="2"/>
      <c r="X170" s="2"/>
      <c r="Z170" s="51"/>
    </row>
    <row r="171" spans="2:26" x14ac:dyDescent="0.25">
      <c r="B171" s="50"/>
      <c r="C171" s="2"/>
      <c r="D171" s="2"/>
      <c r="E171" s="2"/>
      <c r="F171" s="2"/>
      <c r="G171" s="2"/>
      <c r="H171" s="2"/>
      <c r="I171" s="2"/>
      <c r="J171" s="2"/>
      <c r="K171" s="2"/>
      <c r="L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Z171" s="51"/>
    </row>
    <row r="172" spans="2:26" ht="15.75" thickBot="1" x14ac:dyDescent="0.3">
      <c r="B172" s="52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39"/>
      <c r="Z172" s="40"/>
    </row>
    <row r="173" spans="2:26" x14ac:dyDescent="0.25"/>
  </sheetData>
  <mergeCells count="35">
    <mergeCell ref="D101:F104"/>
    <mergeCell ref="B113:Z113"/>
    <mergeCell ref="N116:O119"/>
    <mergeCell ref="Q116:Q119"/>
    <mergeCell ref="J115:M115"/>
    <mergeCell ref="N115:O115"/>
    <mergeCell ref="V161:V164"/>
    <mergeCell ref="J3:Q3"/>
    <mergeCell ref="J4:Q4"/>
    <mergeCell ref="J5:Q5"/>
    <mergeCell ref="E83:E85"/>
    <mergeCell ref="G83:G85"/>
    <mergeCell ref="R83:R85"/>
    <mergeCell ref="T83:T85"/>
    <mergeCell ref="K18:L18"/>
    <mergeCell ref="B7:Z7"/>
    <mergeCell ref="J161:J164"/>
    <mergeCell ref="G161:H164"/>
    <mergeCell ref="S161:T164"/>
    <mergeCell ref="M20:M21"/>
    <mergeCell ref="B122:I122"/>
    <mergeCell ref="H9:I10"/>
    <mergeCell ref="B1:Z1"/>
    <mergeCell ref="B37:Z37"/>
    <mergeCell ref="B99:Z99"/>
    <mergeCell ref="B16:Z16"/>
    <mergeCell ref="B49:Z49"/>
    <mergeCell ref="G24:L24"/>
    <mergeCell ref="O24:T24"/>
    <mergeCell ref="M52:M54"/>
    <mergeCell ref="O52:O54"/>
    <mergeCell ref="O20:O21"/>
    <mergeCell ref="F39:G41"/>
    <mergeCell ref="B57:I57"/>
    <mergeCell ref="O57:V57"/>
  </mergeCells>
  <phoneticPr fontId="16" type="noConversion"/>
  <hyperlinks>
    <hyperlink ref="J26" r:id="rId1" xr:uid="{B77F32A8-660D-4E41-9D64-0E6660CF3423}"/>
    <hyperlink ref="J27" r:id="rId2" xr:uid="{4AC74A58-7745-48EE-8AD3-B508CCCF1135}"/>
    <hyperlink ref="R26" r:id="rId3" xr:uid="{36F3846E-4B3D-40D3-AF75-EB6E0AD79211}"/>
    <hyperlink ref="R27" r:id="rId4" xr:uid="{B7EFDC7F-147D-4C60-B62F-6EBCC90C3F78}"/>
    <hyperlink ref="R29" r:id="rId5" xr:uid="{11C59CF0-A920-456A-8EA2-E91D2D81D9B5}"/>
    <hyperlink ref="R30" r:id="rId6" xr:uid="{9ED9BDCD-6D79-4C02-9E33-DA2B70D887FE}"/>
    <hyperlink ref="E60" r:id="rId7" xr:uid="{B05BF162-A329-44FD-A04D-D42DD49C0127}"/>
    <hyperlink ref="E61" r:id="rId8" xr:uid="{BA1A90CD-DB5C-4B29-9044-29F123582079}"/>
    <hyperlink ref="E62" r:id="rId9" xr:uid="{DB40EA23-0D0B-41F4-BB38-99F0421E6A5D}"/>
    <hyperlink ref="R60" r:id="rId10" xr:uid="{AA94E736-622B-497F-8E73-0CA47D08C193}"/>
    <hyperlink ref="G125" r:id="rId11" xr:uid="{BEEC423A-43B5-4C64-81E7-DEC0EFFB9F4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2D4F1-B612-4DFE-8EDE-068CDB710428}">
  <sheetPr codeName="Sheet5"/>
  <dimension ref="A1:AH168"/>
  <sheetViews>
    <sheetView zoomScaleNormal="100" workbookViewId="0">
      <selection activeCell="AH90" sqref="AH90"/>
    </sheetView>
  </sheetViews>
  <sheetFormatPr defaultRowHeight="15" x14ac:dyDescent="0.25"/>
  <cols>
    <col min="25" max="25" width="12.42578125" customWidth="1"/>
    <col min="26" max="26" width="15.42578125" customWidth="1"/>
    <col min="27" max="27" width="23.7109375" customWidth="1"/>
    <col min="29" max="29" width="11" customWidth="1"/>
    <col min="30" max="30" width="17.5703125" customWidth="1"/>
    <col min="31" max="31" width="27.28515625" customWidth="1"/>
    <col min="32" max="32" width="31.7109375" customWidth="1"/>
    <col min="33" max="33" width="35.140625" customWidth="1"/>
    <col min="34" max="34" width="32.28515625" customWidth="1"/>
  </cols>
  <sheetData>
    <row r="1" spans="1:31" ht="25.5" customHeight="1" x14ac:dyDescent="0.25">
      <c r="A1" s="352" t="s">
        <v>69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</row>
    <row r="2" spans="1:31" ht="15" customHeight="1" thickBot="1" x14ac:dyDescent="0.3">
      <c r="A2" s="355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7"/>
    </row>
    <row r="3" spans="1:31" ht="15.75" thickBot="1" x14ac:dyDescent="0.3">
      <c r="A3" s="50"/>
      <c r="AB3" s="51"/>
    </row>
    <row r="4" spans="1:31" ht="16.5" thickBot="1" x14ac:dyDescent="0.3">
      <c r="B4" s="452" t="s">
        <v>361</v>
      </c>
      <c r="C4" s="453"/>
      <c r="D4" s="453"/>
      <c r="E4" s="453"/>
      <c r="F4" s="453"/>
      <c r="G4" s="453"/>
      <c r="H4" s="454"/>
      <c r="K4" s="452" t="s">
        <v>362</v>
      </c>
      <c r="L4" s="453"/>
      <c r="M4" s="453"/>
      <c r="N4" s="453"/>
      <c r="O4" s="453"/>
      <c r="P4" s="453"/>
      <c r="Q4" s="453"/>
      <c r="R4" s="454"/>
      <c r="AB4" s="51"/>
    </row>
    <row r="5" spans="1:31" ht="16.5" customHeight="1" thickBot="1" x14ac:dyDescent="0.3">
      <c r="B5" s="89">
        <v>0</v>
      </c>
      <c r="C5" s="90">
        <v>-1</v>
      </c>
      <c r="D5" s="91">
        <v>2</v>
      </c>
      <c r="E5" s="455" t="s">
        <v>30</v>
      </c>
      <c r="F5" s="95" t="s">
        <v>127</v>
      </c>
      <c r="G5" s="442" t="s">
        <v>32</v>
      </c>
      <c r="H5" s="96">
        <v>15</v>
      </c>
      <c r="K5" s="291">
        <v>2</v>
      </c>
      <c r="L5" s="292">
        <v>4</v>
      </c>
      <c r="M5" s="292">
        <v>-2</v>
      </c>
      <c r="N5" s="293">
        <v>-2</v>
      </c>
      <c r="O5" s="455" t="s">
        <v>30</v>
      </c>
      <c r="P5" s="294" t="s">
        <v>127</v>
      </c>
      <c r="Q5" s="442" t="s">
        <v>32</v>
      </c>
      <c r="R5" s="294">
        <v>-4</v>
      </c>
      <c r="T5" s="505" t="s">
        <v>289</v>
      </c>
      <c r="U5" s="506"/>
      <c r="V5" s="506"/>
      <c r="W5" s="506"/>
      <c r="X5" s="506"/>
      <c r="Y5" s="506"/>
      <c r="Z5" s="507"/>
      <c r="AB5" s="289"/>
    </row>
    <row r="6" spans="1:31" ht="15.75" customHeight="1" x14ac:dyDescent="0.25">
      <c r="B6" s="89">
        <v>1</v>
      </c>
      <c r="C6" s="90">
        <v>2</v>
      </c>
      <c r="D6" s="91">
        <v>3</v>
      </c>
      <c r="E6" s="456"/>
      <c r="F6" s="96" t="s">
        <v>128</v>
      </c>
      <c r="G6" s="443"/>
      <c r="H6" s="96">
        <v>5</v>
      </c>
      <c r="K6" s="295">
        <v>4</v>
      </c>
      <c r="L6" s="296">
        <v>2</v>
      </c>
      <c r="M6" s="296">
        <v>4</v>
      </c>
      <c r="N6" s="297">
        <v>-3</v>
      </c>
      <c r="O6" s="456"/>
      <c r="P6" s="298" t="s">
        <v>128</v>
      </c>
      <c r="Q6" s="443"/>
      <c r="R6" s="298">
        <v>5</v>
      </c>
      <c r="T6" s="303" t="s">
        <v>268</v>
      </c>
      <c r="U6" s="304"/>
      <c r="V6" s="304"/>
      <c r="W6" s="304"/>
      <c r="X6" s="304"/>
      <c r="Y6" s="304"/>
      <c r="Z6" s="305"/>
      <c r="AB6" s="289"/>
    </row>
    <row r="7" spans="1:31" ht="15.75" customHeight="1" thickBot="1" x14ac:dyDescent="0.3">
      <c r="B7" s="92">
        <v>0</v>
      </c>
      <c r="C7" s="93">
        <v>-7</v>
      </c>
      <c r="D7" s="94">
        <v>9</v>
      </c>
      <c r="E7" s="457"/>
      <c r="F7" s="97" t="s">
        <v>129</v>
      </c>
      <c r="G7" s="444"/>
      <c r="H7" s="97">
        <v>8</v>
      </c>
      <c r="K7" s="295">
        <v>-3</v>
      </c>
      <c r="L7" s="296">
        <v>-3</v>
      </c>
      <c r="M7" s="296">
        <v>8</v>
      </c>
      <c r="N7" s="297">
        <v>-2</v>
      </c>
      <c r="O7" s="456"/>
      <c r="P7" s="298" t="s">
        <v>129</v>
      </c>
      <c r="Q7" s="443"/>
      <c r="R7" s="298">
        <v>7</v>
      </c>
      <c r="T7" s="508" t="s">
        <v>363</v>
      </c>
      <c r="U7" s="509"/>
      <c r="V7" s="509"/>
      <c r="W7" s="509"/>
      <c r="X7" s="509"/>
      <c r="Y7" s="509"/>
      <c r="Z7" s="510"/>
      <c r="AB7" s="51"/>
    </row>
    <row r="8" spans="1:31" ht="15.75" customHeight="1" thickBot="1" x14ac:dyDescent="0.3">
      <c r="D8" s="2"/>
      <c r="E8" s="2"/>
      <c r="F8" s="2"/>
      <c r="G8" s="2"/>
      <c r="H8" s="2"/>
      <c r="I8" s="2"/>
      <c r="J8" s="2"/>
      <c r="K8" s="299">
        <v>-1</v>
      </c>
      <c r="L8" s="300">
        <v>1</v>
      </c>
      <c r="M8" s="300">
        <v>6</v>
      </c>
      <c r="N8" s="301">
        <v>-3</v>
      </c>
      <c r="O8" s="457"/>
      <c r="P8" s="302" t="s">
        <v>235</v>
      </c>
      <c r="Q8" s="444"/>
      <c r="R8" s="302">
        <v>7</v>
      </c>
      <c r="T8" s="511"/>
      <c r="U8" s="512"/>
      <c r="V8" s="512"/>
      <c r="W8" s="512"/>
      <c r="X8" s="512"/>
      <c r="Y8" s="512"/>
      <c r="Z8" s="513"/>
      <c r="AB8" s="51"/>
      <c r="AE8" s="290"/>
    </row>
    <row r="9" spans="1:31" ht="15.75" thickBot="1" x14ac:dyDescent="0.3">
      <c r="A9" s="50"/>
      <c r="AB9" s="51"/>
    </row>
    <row r="10" spans="1:31" x14ac:dyDescent="0.25">
      <c r="A10" s="50"/>
      <c r="B10" s="2"/>
      <c r="C10" s="2"/>
      <c r="D10" s="14" t="str">
        <f>D82</f>
        <v>a</v>
      </c>
      <c r="E10" s="15" t="s">
        <v>32</v>
      </c>
      <c r="F10" s="16">
        <f>F82</f>
        <v>-100.79999999999998</v>
      </c>
      <c r="M10" s="14" t="str">
        <f>P5</f>
        <v>a</v>
      </c>
      <c r="N10" s="15" t="s">
        <v>32</v>
      </c>
      <c r="O10" s="16">
        <f>G166</f>
        <v>0.27777777777777724</v>
      </c>
      <c r="AB10" s="51"/>
    </row>
    <row r="11" spans="1:31" x14ac:dyDescent="0.25">
      <c r="A11" s="50"/>
      <c r="B11" s="119" t="s">
        <v>126</v>
      </c>
      <c r="C11" s="119" t="s">
        <v>125</v>
      </c>
      <c r="D11" s="27" t="str">
        <f>D81</f>
        <v>b</v>
      </c>
      <c r="E11" s="26" t="s">
        <v>32</v>
      </c>
      <c r="F11" s="28">
        <f>F81</f>
        <v>23.799999999999997</v>
      </c>
      <c r="K11" s="119" t="s">
        <v>126</v>
      </c>
      <c r="L11" s="119" t="s">
        <v>125</v>
      </c>
      <c r="M11" s="27" t="str">
        <f>P6</f>
        <v>b</v>
      </c>
      <c r="N11" s="26" t="s">
        <v>32</v>
      </c>
      <c r="O11" s="28">
        <f>G165</f>
        <v>2.2777777777777781</v>
      </c>
      <c r="AB11" s="51"/>
    </row>
    <row r="12" spans="1:31" ht="15.75" thickBot="1" x14ac:dyDescent="0.3">
      <c r="B12" s="2"/>
      <c r="C12" s="2"/>
      <c r="D12" s="17" t="str">
        <f>D80</f>
        <v>c</v>
      </c>
      <c r="E12" s="18" t="s">
        <v>32</v>
      </c>
      <c r="F12" s="19">
        <f>F80</f>
        <v>19.399999999999999</v>
      </c>
      <c r="M12" s="27" t="str">
        <f>P7</f>
        <v>c</v>
      </c>
      <c r="N12" s="26" t="s">
        <v>32</v>
      </c>
      <c r="O12" s="28">
        <f>G164</f>
        <v>2.8333333333333335</v>
      </c>
      <c r="AB12" s="51"/>
    </row>
    <row r="13" spans="1:31" ht="15.75" thickBot="1" x14ac:dyDescent="0.3">
      <c r="C13" s="2"/>
      <c r="D13" s="2"/>
      <c r="M13" s="17" t="str">
        <f>P8</f>
        <v>d</v>
      </c>
      <c r="N13" s="18" t="s">
        <v>32</v>
      </c>
      <c r="O13" s="19">
        <f>G163</f>
        <v>4</v>
      </c>
      <c r="AB13" s="51"/>
    </row>
    <row r="14" spans="1:31" x14ac:dyDescent="0.25">
      <c r="AB14" s="51"/>
    </row>
    <row r="15" spans="1:31" ht="21.75" x14ac:dyDescent="0.35">
      <c r="A15" s="459" t="s">
        <v>364</v>
      </c>
      <c r="B15" s="460"/>
      <c r="C15" s="460"/>
      <c r="D15" s="460"/>
      <c r="E15" s="460"/>
      <c r="F15" s="460"/>
      <c r="G15" s="460"/>
      <c r="H15" s="460"/>
      <c r="I15" s="460"/>
      <c r="J15" s="460"/>
      <c r="K15" s="460"/>
      <c r="L15" s="460"/>
      <c r="M15" s="460"/>
      <c r="N15" s="460"/>
      <c r="O15" s="460"/>
      <c r="P15" s="460"/>
      <c r="Q15" s="460"/>
      <c r="R15" s="460"/>
      <c r="S15" s="460"/>
      <c r="T15" s="460"/>
      <c r="U15" s="460"/>
      <c r="V15" s="460"/>
      <c r="W15" s="460"/>
      <c r="X15" s="460"/>
      <c r="Y15" s="460"/>
      <c r="Z15" s="460"/>
      <c r="AA15" s="460"/>
      <c r="AB15" s="461"/>
    </row>
    <row r="16" spans="1:31" ht="15.75" thickBot="1" x14ac:dyDescent="0.3">
      <c r="A16" s="50"/>
      <c r="AB16" s="51"/>
    </row>
    <row r="17" spans="1:28" ht="21" thickBot="1" x14ac:dyDescent="0.35">
      <c r="A17" s="50"/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9"/>
      <c r="Q17" s="448" t="s">
        <v>113</v>
      </c>
      <c r="R17" s="449"/>
      <c r="S17" s="449"/>
      <c r="T17" s="449"/>
      <c r="U17" s="449"/>
      <c r="V17" s="449"/>
      <c r="W17" s="449"/>
      <c r="X17" s="449"/>
      <c r="Y17" s="449"/>
      <c r="Z17" s="449"/>
      <c r="AA17" s="450"/>
      <c r="AB17" s="51"/>
    </row>
    <row r="18" spans="1:28" ht="15.75" thickBot="1" x14ac:dyDescent="0.3">
      <c r="A18" s="50"/>
      <c r="B18" s="98"/>
      <c r="C18" s="111" t="s">
        <v>34</v>
      </c>
      <c r="D18" s="451" t="s">
        <v>36</v>
      </c>
      <c r="E18" s="451"/>
      <c r="F18" s="112" t="s">
        <v>30</v>
      </c>
      <c r="G18" s="112" t="s">
        <v>32</v>
      </c>
      <c r="H18" s="113" t="s">
        <v>35</v>
      </c>
      <c r="I18" s="2"/>
      <c r="J18" s="2"/>
      <c r="K18" s="2"/>
      <c r="L18" s="2"/>
      <c r="M18" s="99"/>
      <c r="N18" s="2"/>
      <c r="Q18" s="124"/>
      <c r="R18" s="48"/>
      <c r="S18" s="48"/>
      <c r="T18" s="48"/>
      <c r="U18" s="48"/>
      <c r="V18" s="48"/>
      <c r="W18" s="48"/>
      <c r="X18" s="48"/>
      <c r="Y18" s="48"/>
      <c r="Z18" s="48"/>
      <c r="AA18" s="103"/>
      <c r="AB18" s="51"/>
    </row>
    <row r="19" spans="1:28" ht="15.75" thickBot="1" x14ac:dyDescent="0.3">
      <c r="A19" s="50"/>
      <c r="B19" s="98"/>
      <c r="C19" s="2"/>
      <c r="D19" s="2"/>
      <c r="E19" s="2"/>
      <c r="F19" s="2"/>
      <c r="G19" s="2"/>
      <c r="H19" s="2"/>
      <c r="I19" s="2"/>
      <c r="J19" s="2"/>
      <c r="K19" s="2"/>
      <c r="L19" s="2"/>
      <c r="M19" s="99"/>
      <c r="N19" s="2"/>
      <c r="Q19" s="50"/>
      <c r="R19" s="111" t="s">
        <v>71</v>
      </c>
      <c r="S19" s="112"/>
      <c r="T19" s="114" t="s">
        <v>36</v>
      </c>
      <c r="U19" s="112"/>
      <c r="V19" s="112" t="s">
        <v>72</v>
      </c>
      <c r="W19" s="112"/>
      <c r="X19" s="112" t="s">
        <v>32</v>
      </c>
      <c r="Y19" s="112"/>
      <c r="Z19" s="113" t="s">
        <v>70</v>
      </c>
      <c r="AA19" s="51"/>
      <c r="AB19" s="51"/>
    </row>
    <row r="20" spans="1:28" ht="15.75" thickBot="1" x14ac:dyDescent="0.3">
      <c r="A20" s="50"/>
      <c r="B20" s="50"/>
      <c r="M20" s="99"/>
      <c r="N20" s="2"/>
      <c r="Q20" s="50"/>
      <c r="AA20" s="51"/>
      <c r="AB20" s="51"/>
    </row>
    <row r="21" spans="1:28" ht="15.75" thickBot="1" x14ac:dyDescent="0.3">
      <c r="A21" s="50"/>
      <c r="B21" s="120" t="s">
        <v>258</v>
      </c>
      <c r="G21" s="2" t="s">
        <v>125</v>
      </c>
      <c r="H21" s="118" t="s">
        <v>257</v>
      </c>
      <c r="M21" s="51"/>
      <c r="Q21" s="124" t="s">
        <v>73</v>
      </c>
      <c r="R21" s="53">
        <v>0</v>
      </c>
      <c r="S21" s="103">
        <v>0</v>
      </c>
      <c r="T21" s="458" t="s">
        <v>30</v>
      </c>
      <c r="U21" s="124" t="s">
        <v>79</v>
      </c>
      <c r="V21" s="53" t="s">
        <v>80</v>
      </c>
      <c r="W21" s="103" t="s">
        <v>81</v>
      </c>
      <c r="X21" s="458" t="s">
        <v>32</v>
      </c>
      <c r="Y21" s="124" t="s">
        <v>85</v>
      </c>
      <c r="Z21" s="53" t="s">
        <v>88</v>
      </c>
      <c r="AA21" s="103" t="s">
        <v>89</v>
      </c>
      <c r="AB21" s="51"/>
    </row>
    <row r="22" spans="1:28" x14ac:dyDescent="0.25">
      <c r="A22" s="50"/>
      <c r="B22" s="124">
        <f>IF($B5=0,IF($B6=0,IF($B7=0,FALSE,B7),B6),B5)</f>
        <v>1</v>
      </c>
      <c r="C22" s="53">
        <f>IF($B5=0,IF($B6=0,IF($B7=0,FALSE,C7),C6),C5)</f>
        <v>2</v>
      </c>
      <c r="D22" s="103">
        <f>IF($B5=0,IF($B6=0,IF($B7=0,FALSE,D7),D6),D5)</f>
        <v>3</v>
      </c>
      <c r="E22" s="458" t="s">
        <v>30</v>
      </c>
      <c r="F22" s="126" t="str">
        <f>F5</f>
        <v>a</v>
      </c>
      <c r="G22" s="458" t="s">
        <v>32</v>
      </c>
      <c r="H22" s="126">
        <f>IF($B5=0,IF($B6=0,IF($B7=0,FALSE,H7),H6),H5)</f>
        <v>5</v>
      </c>
      <c r="K22" s="2"/>
      <c r="L22" s="2"/>
      <c r="M22" s="51"/>
      <c r="Q22" s="98" t="s">
        <v>74</v>
      </c>
      <c r="R22" s="2" t="s">
        <v>76</v>
      </c>
      <c r="S22" s="99">
        <v>0</v>
      </c>
      <c r="T22" s="458"/>
      <c r="U22" s="98">
        <v>0</v>
      </c>
      <c r="V22" s="2" t="s">
        <v>82</v>
      </c>
      <c r="W22" s="99" t="s">
        <v>83</v>
      </c>
      <c r="X22" s="458"/>
      <c r="Y22" s="98" t="s">
        <v>86</v>
      </c>
      <c r="Z22" s="2" t="s">
        <v>90</v>
      </c>
      <c r="AA22" s="99" t="s">
        <v>91</v>
      </c>
      <c r="AB22" s="51"/>
    </row>
    <row r="23" spans="1:28" ht="15.75" thickBot="1" x14ac:dyDescent="0.3">
      <c r="A23" s="50"/>
      <c r="B23" s="98">
        <f>IF($B5=0,IF($B6=0,IF($B7=0,FALSE,B6),B5),B6)</f>
        <v>0</v>
      </c>
      <c r="C23" s="2">
        <f>IF($B5=0,IF($B6=0,IF($B7=0,FALSE,C6),C5),C6)</f>
        <v>-1</v>
      </c>
      <c r="D23" s="99">
        <f>IF($B5=0,IF($B6=0,IF($B7=0,FALSE,D6),D5),D6)</f>
        <v>2</v>
      </c>
      <c r="E23" s="458"/>
      <c r="F23" s="127" t="str">
        <f>F6</f>
        <v>b</v>
      </c>
      <c r="G23" s="458"/>
      <c r="H23" s="127">
        <f>IF($B5=0,IF($B6=0,IF($B7=0,FALSE,H6),H5),H6)</f>
        <v>15</v>
      </c>
      <c r="M23" s="51"/>
      <c r="Q23" s="100" t="s">
        <v>75</v>
      </c>
      <c r="R23" s="101" t="s">
        <v>77</v>
      </c>
      <c r="S23" s="102" t="s">
        <v>78</v>
      </c>
      <c r="T23" s="462"/>
      <c r="U23" s="100">
        <v>0</v>
      </c>
      <c r="V23" s="101">
        <v>0</v>
      </c>
      <c r="W23" s="102" t="s">
        <v>84</v>
      </c>
      <c r="X23" s="462"/>
      <c r="Y23" s="100" t="s">
        <v>87</v>
      </c>
      <c r="Z23" s="101" t="s">
        <v>92</v>
      </c>
      <c r="AA23" s="102" t="s">
        <v>131</v>
      </c>
      <c r="AB23" s="51"/>
    </row>
    <row r="24" spans="1:28" ht="15.75" thickBot="1" x14ac:dyDescent="0.3">
      <c r="A24" s="50"/>
      <c r="B24" s="100">
        <f>IF($B5=0,IF($B6=0,IF($B7=0,FALSE,B5),B7),B7)</f>
        <v>0</v>
      </c>
      <c r="C24" s="101">
        <f>IF($B5=0,IF($B6=0,IF($B7=0,FALSE,C5),C7),C7)</f>
        <v>-7</v>
      </c>
      <c r="D24" s="102">
        <f>IF($B5=0,IF($B6=0,IF($B7=0,FALSE,D5),D7),D7)</f>
        <v>9</v>
      </c>
      <c r="E24" s="458"/>
      <c r="F24" s="128" t="str">
        <f>F7</f>
        <v>c</v>
      </c>
      <c r="G24" s="458"/>
      <c r="H24" s="128">
        <f>IF($B5=0,IF($B6=0,IF($B7=0,FALSE,H5),H7),H7)</f>
        <v>8</v>
      </c>
      <c r="M24" s="51"/>
      <c r="AB24" s="51"/>
    </row>
    <row r="25" spans="1:28" x14ac:dyDescent="0.25">
      <c r="A25" s="50"/>
      <c r="B25" s="50"/>
      <c r="M25" s="51"/>
      <c r="AB25" s="51"/>
    </row>
    <row r="26" spans="1:28" x14ac:dyDescent="0.25">
      <c r="A26" s="50"/>
      <c r="B26" s="50"/>
      <c r="M26" s="51"/>
      <c r="AB26" s="51"/>
    </row>
    <row r="27" spans="1:28" x14ac:dyDescent="0.25">
      <c r="A27" s="50"/>
      <c r="B27" s="50"/>
      <c r="M27" s="51"/>
      <c r="AB27" s="51"/>
    </row>
    <row r="28" spans="1:28" x14ac:dyDescent="0.25">
      <c r="A28" s="50"/>
      <c r="B28" s="249" t="s">
        <v>259</v>
      </c>
      <c r="C28" s="206"/>
      <c r="D28" s="206"/>
      <c r="E28" s="206"/>
      <c r="M28" s="51"/>
      <c r="AB28" s="51"/>
    </row>
    <row r="29" spans="1:28" x14ac:dyDescent="0.25">
      <c r="A29" s="50"/>
      <c r="B29" s="50"/>
      <c r="M29" s="51"/>
      <c r="AB29" s="51"/>
    </row>
    <row r="30" spans="1:28" ht="15.75" thickBot="1" x14ac:dyDescent="0.3">
      <c r="A30" s="50"/>
      <c r="B30" s="50"/>
      <c r="M30" s="51"/>
      <c r="AB30" s="51"/>
    </row>
    <row r="31" spans="1:28" ht="21" thickBot="1" x14ac:dyDescent="0.35">
      <c r="A31" s="50"/>
      <c r="B31" s="116" t="s">
        <v>255</v>
      </c>
      <c r="C31" s="451" t="s">
        <v>36</v>
      </c>
      <c r="D31" s="451"/>
      <c r="E31" s="451"/>
      <c r="F31" s="114" t="s">
        <v>256</v>
      </c>
      <c r="G31" s="451" t="s">
        <v>36</v>
      </c>
      <c r="H31" s="451"/>
      <c r="I31" s="112" t="s">
        <v>30</v>
      </c>
      <c r="J31" s="112" t="s">
        <v>32</v>
      </c>
      <c r="K31" s="113" t="s">
        <v>35</v>
      </c>
      <c r="M31" s="51"/>
      <c r="Q31" s="448" t="s">
        <v>120</v>
      </c>
      <c r="R31" s="449"/>
      <c r="S31" s="449"/>
      <c r="T31" s="449"/>
      <c r="U31" s="449"/>
      <c r="V31" s="449"/>
      <c r="W31" s="449"/>
      <c r="X31" s="449"/>
      <c r="Y31" s="449"/>
      <c r="Z31" s="449"/>
      <c r="AA31" s="450"/>
      <c r="AB31" s="51"/>
    </row>
    <row r="32" spans="1:28" ht="15.75" thickBot="1" x14ac:dyDescent="0.3">
      <c r="A32" s="50"/>
      <c r="B32" s="98"/>
      <c r="C32" s="2"/>
      <c r="D32" s="2"/>
      <c r="E32" s="2"/>
      <c r="F32" s="2"/>
      <c r="I32" s="2"/>
      <c r="J32" s="2"/>
      <c r="K32" s="2"/>
      <c r="M32" s="51"/>
      <c r="Q32" s="47"/>
      <c r="R32" s="48"/>
      <c r="S32" s="48"/>
      <c r="T32" s="48"/>
      <c r="U32" s="48"/>
      <c r="V32" s="48"/>
      <c r="W32" s="48"/>
      <c r="X32" s="48"/>
      <c r="Y32" s="48"/>
      <c r="Z32" s="48"/>
      <c r="AA32" s="49"/>
      <c r="AB32" s="51"/>
    </row>
    <row r="33" spans="1:28" ht="16.5" thickBot="1" x14ac:dyDescent="0.3">
      <c r="A33" s="50"/>
      <c r="B33" s="124" t="s">
        <v>73</v>
      </c>
      <c r="C33" s="53">
        <v>0</v>
      </c>
      <c r="D33" s="103">
        <v>0</v>
      </c>
      <c r="E33" s="458" t="s">
        <v>30</v>
      </c>
      <c r="F33" s="124" t="s">
        <v>79</v>
      </c>
      <c r="G33" s="53" t="s">
        <v>80</v>
      </c>
      <c r="H33" s="103" t="s">
        <v>81</v>
      </c>
      <c r="I33" s="458" t="s">
        <v>30</v>
      </c>
      <c r="J33" s="126" t="str">
        <f>F22</f>
        <v>a</v>
      </c>
      <c r="K33" s="458" t="s">
        <v>32</v>
      </c>
      <c r="L33" s="126">
        <f>H22</f>
        <v>5</v>
      </c>
      <c r="M33" s="51"/>
      <c r="Q33" s="50"/>
      <c r="R33" s="505" t="s">
        <v>93</v>
      </c>
      <c r="S33" s="506"/>
      <c r="T33" s="506"/>
      <c r="U33" s="506"/>
      <c r="V33" s="506"/>
      <c r="W33" s="506"/>
      <c r="X33" s="506"/>
      <c r="Y33" s="507"/>
      <c r="AA33" s="51"/>
      <c r="AB33" s="51"/>
    </row>
    <row r="34" spans="1:28" ht="15.75" thickBot="1" x14ac:dyDescent="0.3">
      <c r="A34" s="50"/>
      <c r="B34" s="98" t="s">
        <v>74</v>
      </c>
      <c r="C34" s="2" t="s">
        <v>76</v>
      </c>
      <c r="D34" s="99">
        <v>0</v>
      </c>
      <c r="E34" s="458"/>
      <c r="F34" s="98">
        <v>0</v>
      </c>
      <c r="G34" s="2" t="s">
        <v>82</v>
      </c>
      <c r="H34" s="99" t="s">
        <v>83</v>
      </c>
      <c r="I34" s="458"/>
      <c r="J34" s="127" t="str">
        <f>F23</f>
        <v>b</v>
      </c>
      <c r="K34" s="458"/>
      <c r="L34" s="127">
        <f>H23</f>
        <v>15</v>
      </c>
      <c r="M34" s="51"/>
      <c r="Q34" s="50"/>
      <c r="R34" s="514" t="s">
        <v>260</v>
      </c>
      <c r="S34" s="515"/>
      <c r="T34" s="515"/>
      <c r="U34" s="515"/>
      <c r="V34" s="515"/>
      <c r="W34" s="515"/>
      <c r="X34" s="515"/>
      <c r="Y34" s="516"/>
      <c r="AA34" s="51"/>
      <c r="AB34" s="51"/>
    </row>
    <row r="35" spans="1:28" ht="15.75" thickBot="1" x14ac:dyDescent="0.3">
      <c r="A35" s="50"/>
      <c r="B35" s="100" t="s">
        <v>75</v>
      </c>
      <c r="C35" s="101" t="s">
        <v>77</v>
      </c>
      <c r="D35" s="102" t="s">
        <v>78</v>
      </c>
      <c r="E35" s="458"/>
      <c r="F35" s="100">
        <v>0</v>
      </c>
      <c r="G35" s="101">
        <v>0</v>
      </c>
      <c r="H35" s="102" t="s">
        <v>84</v>
      </c>
      <c r="I35" s="458"/>
      <c r="J35" s="128" t="str">
        <f>F24</f>
        <v>c</v>
      </c>
      <c r="K35" s="458"/>
      <c r="L35" s="128">
        <f>H24</f>
        <v>8</v>
      </c>
      <c r="M35" s="51"/>
      <c r="Q35" s="50"/>
      <c r="AA35" s="51"/>
      <c r="AB35" s="51"/>
    </row>
    <row r="36" spans="1:28" ht="15.75" thickBot="1" x14ac:dyDescent="0.3">
      <c r="A36" s="50"/>
      <c r="B36" s="52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40"/>
      <c r="Q36" s="98" t="s">
        <v>49</v>
      </c>
      <c r="R36" s="69" t="s">
        <v>96</v>
      </c>
      <c r="S36" s="70">
        <v>1</v>
      </c>
      <c r="T36" s="2"/>
      <c r="U36" s="69" t="s">
        <v>95</v>
      </c>
      <c r="V36" s="70">
        <v>1</v>
      </c>
      <c r="W36" s="2"/>
      <c r="X36" s="69" t="s">
        <v>97</v>
      </c>
      <c r="Y36" s="70">
        <v>1</v>
      </c>
      <c r="Z36" s="2"/>
      <c r="AA36" s="99"/>
      <c r="AB36" s="51"/>
    </row>
    <row r="37" spans="1:28" ht="15.75" thickBot="1" x14ac:dyDescent="0.3">
      <c r="A37" s="50"/>
      <c r="Q37" s="98"/>
      <c r="R37" s="2"/>
      <c r="S37" s="2"/>
      <c r="T37" s="2"/>
      <c r="U37" s="2"/>
      <c r="V37" s="2"/>
      <c r="W37" s="2"/>
      <c r="X37" s="2"/>
      <c r="Y37" s="2"/>
      <c r="Z37" s="2"/>
      <c r="AA37" s="99"/>
      <c r="AB37" s="51"/>
    </row>
    <row r="38" spans="1:28" ht="15.75" thickBot="1" x14ac:dyDescent="0.3">
      <c r="A38" s="50"/>
      <c r="Q38" s="98"/>
      <c r="R38" s="111" t="s">
        <v>71</v>
      </c>
      <c r="S38" s="112"/>
      <c r="T38" s="112" t="s">
        <v>30</v>
      </c>
      <c r="U38" s="112"/>
      <c r="V38" s="112" t="s">
        <v>72</v>
      </c>
      <c r="W38" s="112"/>
      <c r="X38" s="112" t="s">
        <v>32</v>
      </c>
      <c r="Y38" s="112"/>
      <c r="Z38" s="113" t="s">
        <v>70</v>
      </c>
      <c r="AA38" s="99"/>
      <c r="AB38" s="51"/>
    </row>
    <row r="39" spans="1:28" ht="15.75" thickBot="1" x14ac:dyDescent="0.3">
      <c r="A39" s="50"/>
      <c r="B39" s="47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9"/>
      <c r="Q39" s="50"/>
      <c r="AA39" s="51"/>
      <c r="AB39" s="51"/>
    </row>
    <row r="40" spans="1:28" ht="15.75" thickBot="1" x14ac:dyDescent="0.3">
      <c r="A40" s="50"/>
      <c r="B40" s="50"/>
      <c r="C40" s="111" t="s">
        <v>71</v>
      </c>
      <c r="D40" s="112"/>
      <c r="E40" s="123" t="s">
        <v>36</v>
      </c>
      <c r="F40" s="112"/>
      <c r="G40" s="112" t="s">
        <v>72</v>
      </c>
      <c r="H40" s="121"/>
      <c r="I40" s="123" t="s">
        <v>36</v>
      </c>
      <c r="J40" s="112" t="s">
        <v>30</v>
      </c>
      <c r="K40" s="112" t="s">
        <v>32</v>
      </c>
      <c r="L40" s="113" t="s">
        <v>35</v>
      </c>
      <c r="M40" s="51"/>
      <c r="Q40" s="124">
        <v>1</v>
      </c>
      <c r="R40" s="53">
        <v>0</v>
      </c>
      <c r="S40" s="103">
        <v>0</v>
      </c>
      <c r="T40" s="458" t="s">
        <v>30</v>
      </c>
      <c r="U40" s="124" t="s">
        <v>79</v>
      </c>
      <c r="V40" s="53" t="s">
        <v>80</v>
      </c>
      <c r="W40" s="103" t="s">
        <v>81</v>
      </c>
      <c r="X40" s="458" t="s">
        <v>32</v>
      </c>
      <c r="Y40" s="124" t="s">
        <v>79</v>
      </c>
      <c r="Z40" s="53" t="s">
        <v>80</v>
      </c>
      <c r="AA40" s="103" t="s">
        <v>81</v>
      </c>
      <c r="AB40" s="51"/>
    </row>
    <row r="41" spans="1:28" ht="15.75" thickBot="1" x14ac:dyDescent="0.3">
      <c r="A41" s="50"/>
      <c r="B41" s="50"/>
      <c r="M41" s="51"/>
      <c r="Q41" s="98" t="s">
        <v>74</v>
      </c>
      <c r="R41" s="2">
        <v>1</v>
      </c>
      <c r="S41" s="99">
        <v>0</v>
      </c>
      <c r="T41" s="458"/>
      <c r="U41" s="98">
        <v>0</v>
      </c>
      <c r="V41" s="2" t="s">
        <v>82</v>
      </c>
      <c r="W41" s="99" t="s">
        <v>83</v>
      </c>
      <c r="X41" s="458"/>
      <c r="Y41" s="98" t="s">
        <v>86</v>
      </c>
      <c r="Z41" s="2" t="s">
        <v>98</v>
      </c>
      <c r="AA41" s="99" t="s">
        <v>99</v>
      </c>
      <c r="AB41" s="51"/>
    </row>
    <row r="42" spans="1:28" ht="15.75" thickBot="1" x14ac:dyDescent="0.3">
      <c r="A42" s="50"/>
      <c r="B42" s="124">
        <f>S57</f>
        <v>1</v>
      </c>
      <c r="C42" s="53">
        <f>C33</f>
        <v>0</v>
      </c>
      <c r="D42" s="103">
        <f>D33</f>
        <v>0</v>
      </c>
      <c r="E42" s="458" t="s">
        <v>30</v>
      </c>
      <c r="F42" s="124">
        <f>S53</f>
        <v>1</v>
      </c>
      <c r="G42" s="53">
        <f>V53</f>
        <v>2</v>
      </c>
      <c r="H42" s="103">
        <f>Y53</f>
        <v>3</v>
      </c>
      <c r="I42" s="458" t="s">
        <v>30</v>
      </c>
      <c r="J42" s="126" t="str">
        <f>J33</f>
        <v>a</v>
      </c>
      <c r="K42" s="458" t="s">
        <v>32</v>
      </c>
      <c r="L42" s="126">
        <f>L33</f>
        <v>5</v>
      </c>
      <c r="M42" s="51"/>
      <c r="Q42" s="100" t="s">
        <v>75</v>
      </c>
      <c r="R42" s="101" t="s">
        <v>77</v>
      </c>
      <c r="S42" s="102">
        <v>1</v>
      </c>
      <c r="T42" s="458"/>
      <c r="U42" s="100">
        <v>0</v>
      </c>
      <c r="V42" s="101">
        <v>0</v>
      </c>
      <c r="W42" s="102" t="s">
        <v>84</v>
      </c>
      <c r="X42" s="458"/>
      <c r="Y42" s="100" t="s">
        <v>87</v>
      </c>
      <c r="Z42" s="101" t="s">
        <v>92</v>
      </c>
      <c r="AA42" s="102" t="s">
        <v>130</v>
      </c>
      <c r="AB42" s="51"/>
    </row>
    <row r="43" spans="1:28" x14ac:dyDescent="0.25">
      <c r="A43" s="50"/>
      <c r="B43" s="98">
        <f>S58</f>
        <v>0</v>
      </c>
      <c r="C43" s="2">
        <f>V58</f>
        <v>1</v>
      </c>
      <c r="D43" s="99">
        <f>D34</f>
        <v>0</v>
      </c>
      <c r="E43" s="458"/>
      <c r="F43" s="98">
        <f>F34</f>
        <v>0</v>
      </c>
      <c r="G43" s="2">
        <f>V54</f>
        <v>-1</v>
      </c>
      <c r="H43" s="99">
        <f>Y54</f>
        <v>2</v>
      </c>
      <c r="I43" s="458"/>
      <c r="J43" s="127" t="str">
        <f>J34</f>
        <v>b</v>
      </c>
      <c r="K43" s="458"/>
      <c r="L43" s="127">
        <f>L34</f>
        <v>15</v>
      </c>
      <c r="M43" s="51"/>
      <c r="Q43" s="50"/>
      <c r="AA43" s="51"/>
      <c r="AB43" s="51"/>
    </row>
    <row r="44" spans="1:28" ht="16.5" thickBot="1" x14ac:dyDescent="0.3">
      <c r="A44" s="50"/>
      <c r="B44" s="100">
        <f>S59</f>
        <v>0</v>
      </c>
      <c r="C44" s="101">
        <f>V59</f>
        <v>7</v>
      </c>
      <c r="D44" s="102">
        <f>Y59</f>
        <v>1</v>
      </c>
      <c r="E44" s="458"/>
      <c r="F44" s="100">
        <f>F35</f>
        <v>0</v>
      </c>
      <c r="G44" s="101">
        <f>G35</f>
        <v>0</v>
      </c>
      <c r="H44" s="102">
        <f>Y55</f>
        <v>-5</v>
      </c>
      <c r="I44" s="458"/>
      <c r="J44" s="128" t="str">
        <f>J35</f>
        <v>c</v>
      </c>
      <c r="K44" s="458"/>
      <c r="L44" s="128">
        <f>L35</f>
        <v>8</v>
      </c>
      <c r="M44" s="51"/>
      <c r="Q44" s="50"/>
      <c r="R44" s="463" t="s">
        <v>262</v>
      </c>
      <c r="S44" s="463"/>
      <c r="T44" s="463"/>
      <c r="U44" s="463"/>
      <c r="AA44" s="51"/>
      <c r="AB44" s="51"/>
    </row>
    <row r="45" spans="1:28" ht="15.75" thickBot="1" x14ac:dyDescent="0.3">
      <c r="A45" s="50"/>
      <c r="B45" s="50"/>
      <c r="M45" s="51"/>
      <c r="Q45" s="50"/>
      <c r="AA45" s="51"/>
      <c r="AB45" s="51"/>
    </row>
    <row r="46" spans="1:28" ht="15.75" thickBot="1" x14ac:dyDescent="0.3">
      <c r="A46" s="50"/>
      <c r="B46" s="50"/>
      <c r="M46" s="51"/>
      <c r="Q46" s="50"/>
      <c r="U46" s="124">
        <f t="shared" ref="U46:W48" si="0">B22</f>
        <v>1</v>
      </c>
      <c r="V46" s="53">
        <f t="shared" si="0"/>
        <v>2</v>
      </c>
      <c r="W46" s="103">
        <f t="shared" si="0"/>
        <v>3</v>
      </c>
      <c r="X46" s="458" t="s">
        <v>32</v>
      </c>
      <c r="Y46" s="124" t="s">
        <v>79</v>
      </c>
      <c r="Z46" s="53" t="s">
        <v>80</v>
      </c>
      <c r="AA46" s="103" t="s">
        <v>81</v>
      </c>
      <c r="AB46" s="51"/>
    </row>
    <row r="47" spans="1:28" ht="15.75" thickBot="1" x14ac:dyDescent="0.3">
      <c r="A47" s="50"/>
      <c r="B47" s="50"/>
      <c r="M47" s="51"/>
      <c r="Q47" s="111" t="s">
        <v>34</v>
      </c>
      <c r="R47" s="112" t="s">
        <v>32</v>
      </c>
      <c r="S47" s="113" t="s">
        <v>70</v>
      </c>
      <c r="T47" s="2" t="s">
        <v>103</v>
      </c>
      <c r="U47" s="98">
        <f t="shared" si="0"/>
        <v>0</v>
      </c>
      <c r="V47" s="2">
        <f t="shared" si="0"/>
        <v>-1</v>
      </c>
      <c r="W47" s="99">
        <f t="shared" si="0"/>
        <v>2</v>
      </c>
      <c r="X47" s="458"/>
      <c r="Y47" s="98" t="s">
        <v>86</v>
      </c>
      <c r="Z47" s="2" t="s">
        <v>98</v>
      </c>
      <c r="AA47" s="99" t="s">
        <v>99</v>
      </c>
      <c r="AB47" s="51"/>
    </row>
    <row r="48" spans="1:28" ht="15.75" thickBot="1" x14ac:dyDescent="0.3">
      <c r="A48" s="50"/>
      <c r="B48" s="50"/>
      <c r="G48" s="36" t="s">
        <v>119</v>
      </c>
      <c r="H48" s="36" t="s">
        <v>115</v>
      </c>
      <c r="M48" s="51"/>
      <c r="Q48" s="50"/>
      <c r="U48" s="100">
        <f t="shared" si="0"/>
        <v>0</v>
      </c>
      <c r="V48" s="101">
        <f t="shared" si="0"/>
        <v>-7</v>
      </c>
      <c r="W48" s="102">
        <f t="shared" si="0"/>
        <v>9</v>
      </c>
      <c r="X48" s="458"/>
      <c r="Y48" s="100" t="s">
        <v>87</v>
      </c>
      <c r="Z48" s="101" t="s">
        <v>92</v>
      </c>
      <c r="AA48" s="102" t="s">
        <v>130</v>
      </c>
      <c r="AB48" s="51"/>
    </row>
    <row r="49" spans="1:28" x14ac:dyDescent="0.25">
      <c r="A49" s="50"/>
      <c r="B49" s="50"/>
      <c r="M49" s="51"/>
      <c r="Q49" s="50"/>
      <c r="AA49" s="51"/>
      <c r="AB49" s="51"/>
    </row>
    <row r="50" spans="1:28" x14ac:dyDescent="0.25">
      <c r="A50" s="50"/>
      <c r="B50" s="50"/>
      <c r="M50" s="51"/>
      <c r="Q50" s="50"/>
      <c r="AA50" s="51"/>
      <c r="AB50" s="51"/>
    </row>
    <row r="51" spans="1:28" ht="16.5" thickBot="1" x14ac:dyDescent="0.3">
      <c r="A51" s="50"/>
      <c r="B51" s="50"/>
      <c r="M51" s="51"/>
      <c r="Q51" s="50"/>
      <c r="R51" s="463" t="s">
        <v>261</v>
      </c>
      <c r="S51" s="463"/>
      <c r="T51" s="463"/>
      <c r="U51" s="463"/>
      <c r="V51" s="463"/>
      <c r="W51" s="463"/>
      <c r="AA51" s="51"/>
      <c r="AB51" s="51"/>
    </row>
    <row r="52" spans="1:28" ht="15.75" thickBot="1" x14ac:dyDescent="0.3">
      <c r="A52" s="50"/>
      <c r="B52" s="50"/>
      <c r="D52" s="2"/>
      <c r="E52" s="2"/>
      <c r="F52" s="111" t="s">
        <v>71</v>
      </c>
      <c r="G52" s="129" t="s">
        <v>30</v>
      </c>
      <c r="H52" s="112" t="s">
        <v>114</v>
      </c>
      <c r="I52" s="129" t="s">
        <v>32</v>
      </c>
      <c r="J52" s="113" t="s">
        <v>35</v>
      </c>
      <c r="M52" s="51"/>
      <c r="Q52" s="50"/>
      <c r="AA52" s="51"/>
      <c r="AB52" s="51"/>
    </row>
    <row r="53" spans="1:28" ht="15.75" thickBot="1" x14ac:dyDescent="0.3">
      <c r="A53" s="50"/>
      <c r="B53" s="50"/>
      <c r="D53" s="2"/>
      <c r="E53" s="2"/>
      <c r="F53" s="2"/>
      <c r="G53" s="2"/>
      <c r="H53" s="2"/>
      <c r="I53" s="2"/>
      <c r="J53" s="2"/>
      <c r="M53" s="51"/>
      <c r="Q53" s="50"/>
      <c r="R53" s="44" t="s">
        <v>100</v>
      </c>
      <c r="S53" s="46">
        <f>U46</f>
        <v>1</v>
      </c>
      <c r="U53" s="44" t="s">
        <v>101</v>
      </c>
      <c r="V53" s="46">
        <f>V46</f>
        <v>2</v>
      </c>
      <c r="X53" s="69" t="s">
        <v>102</v>
      </c>
      <c r="Y53" s="70">
        <f>W46</f>
        <v>3</v>
      </c>
      <c r="AA53" s="51"/>
      <c r="AB53" s="51"/>
    </row>
    <row r="54" spans="1:28" ht="15.75" thickBot="1" x14ac:dyDescent="0.3">
      <c r="A54" s="50"/>
      <c r="B54" s="50"/>
      <c r="D54" s="124">
        <f t="shared" ref="D54:F56" si="1">B42</f>
        <v>1</v>
      </c>
      <c r="E54" s="53">
        <f t="shared" si="1"/>
        <v>0</v>
      </c>
      <c r="F54" s="103">
        <f t="shared" si="1"/>
        <v>0</v>
      </c>
      <c r="G54" s="458" t="s">
        <v>30</v>
      </c>
      <c r="H54" s="126" t="s">
        <v>116</v>
      </c>
      <c r="I54" s="458" t="s">
        <v>32</v>
      </c>
      <c r="J54" s="126">
        <f>L33</f>
        <v>5</v>
      </c>
      <c r="M54" s="51"/>
      <c r="Q54" s="50"/>
      <c r="U54" s="44" t="s">
        <v>106</v>
      </c>
      <c r="V54" s="46">
        <f>V47-(S58*V53)</f>
        <v>-1</v>
      </c>
      <c r="X54" s="69" t="s">
        <v>104</v>
      </c>
      <c r="Y54" s="70">
        <f>W47-(S58*Y53)</f>
        <v>2</v>
      </c>
      <c r="AA54" s="51"/>
      <c r="AB54" s="51"/>
    </row>
    <row r="55" spans="1:28" ht="15.75" thickBot="1" x14ac:dyDescent="0.3">
      <c r="A55" s="50"/>
      <c r="B55" s="50"/>
      <c r="D55" s="98">
        <f t="shared" si="1"/>
        <v>0</v>
      </c>
      <c r="E55" s="2">
        <f t="shared" si="1"/>
        <v>1</v>
      </c>
      <c r="F55" s="99">
        <f t="shared" si="1"/>
        <v>0</v>
      </c>
      <c r="G55" s="458"/>
      <c r="H55" s="127" t="s">
        <v>117</v>
      </c>
      <c r="I55" s="458"/>
      <c r="J55" s="127">
        <f>L34</f>
        <v>15</v>
      </c>
      <c r="M55" s="51"/>
      <c r="Q55" s="50"/>
      <c r="X55" s="69" t="s">
        <v>107</v>
      </c>
      <c r="Y55" s="70">
        <f>W48-(S59*Y53)-(V59*Y54)</f>
        <v>-5</v>
      </c>
      <c r="AA55" s="51"/>
      <c r="AB55" s="51"/>
    </row>
    <row r="56" spans="1:28" ht="15.75" thickBot="1" x14ac:dyDescent="0.3">
      <c r="A56" s="50"/>
      <c r="B56" s="50"/>
      <c r="D56" s="100">
        <f t="shared" si="1"/>
        <v>0</v>
      </c>
      <c r="E56" s="101">
        <f t="shared" si="1"/>
        <v>7</v>
      </c>
      <c r="F56" s="102">
        <f t="shared" si="1"/>
        <v>1</v>
      </c>
      <c r="G56" s="458"/>
      <c r="H56" s="128" t="s">
        <v>118</v>
      </c>
      <c r="I56" s="458"/>
      <c r="J56" s="128">
        <f>L35</f>
        <v>8</v>
      </c>
      <c r="M56" s="51"/>
      <c r="Q56" s="50"/>
      <c r="AA56" s="51"/>
      <c r="AB56" s="51"/>
    </row>
    <row r="57" spans="1:28" ht="15.75" thickBot="1" x14ac:dyDescent="0.3">
      <c r="A57" s="50"/>
      <c r="B57" s="50"/>
      <c r="M57" s="51"/>
      <c r="Q57" s="50"/>
      <c r="R57" s="44" t="s">
        <v>94</v>
      </c>
      <c r="S57" s="46">
        <f>S36</f>
        <v>1</v>
      </c>
      <c r="AA57" s="51"/>
      <c r="AB57" s="51"/>
    </row>
    <row r="58" spans="1:28" ht="15.75" thickBot="1" x14ac:dyDescent="0.3">
      <c r="A58" s="50"/>
      <c r="B58" s="50"/>
      <c r="M58" s="51"/>
      <c r="Q58" s="50"/>
      <c r="R58" s="44" t="s">
        <v>108</v>
      </c>
      <c r="S58" s="46">
        <f>U47/S53</f>
        <v>0</v>
      </c>
      <c r="U58" s="44" t="s">
        <v>110</v>
      </c>
      <c r="V58" s="46">
        <f>V36</f>
        <v>1</v>
      </c>
      <c r="AA58" s="51"/>
      <c r="AB58" s="51"/>
    </row>
    <row r="59" spans="1:28" ht="15.75" thickBot="1" x14ac:dyDescent="0.3">
      <c r="A59" s="50"/>
      <c r="B59" s="50"/>
      <c r="M59" s="51"/>
      <c r="Q59" s="50"/>
      <c r="R59" s="44" t="s">
        <v>109</v>
      </c>
      <c r="S59" s="46">
        <f>U48/S53</f>
        <v>0</v>
      </c>
      <c r="U59" s="44" t="s">
        <v>112</v>
      </c>
      <c r="V59" s="46">
        <f>(V48-(S59*V53))/V54</f>
        <v>7</v>
      </c>
      <c r="X59" s="44" t="s">
        <v>111</v>
      </c>
      <c r="Y59" s="46">
        <f>Y36</f>
        <v>1</v>
      </c>
      <c r="AA59" s="51"/>
      <c r="AB59" s="51"/>
    </row>
    <row r="60" spans="1:28" ht="15.75" thickBot="1" x14ac:dyDescent="0.3">
      <c r="A60" s="50"/>
      <c r="B60" s="50"/>
      <c r="H60" s="500" t="s">
        <v>121</v>
      </c>
      <c r="I60" s="500"/>
      <c r="M60" s="51"/>
      <c r="Q60" s="52"/>
      <c r="R60" s="39"/>
      <c r="S60" s="39"/>
      <c r="T60" s="39"/>
      <c r="U60" s="39"/>
      <c r="V60" s="39"/>
      <c r="W60" s="39"/>
      <c r="X60" s="39"/>
      <c r="Y60" s="39"/>
      <c r="Z60" s="39"/>
      <c r="AA60" s="40"/>
      <c r="AB60" s="51"/>
    </row>
    <row r="61" spans="1:28" ht="15.75" thickBot="1" x14ac:dyDescent="0.3">
      <c r="A61" s="50"/>
      <c r="B61" s="50"/>
      <c r="M61" s="51"/>
      <c r="AB61" s="51"/>
    </row>
    <row r="62" spans="1:28" ht="15.75" thickBot="1" x14ac:dyDescent="0.3">
      <c r="A62" s="50"/>
      <c r="B62" s="50"/>
      <c r="E62" s="2"/>
      <c r="F62" s="69" t="s">
        <v>122</v>
      </c>
      <c r="G62" s="70">
        <f>J54/D54</f>
        <v>5</v>
      </c>
      <c r="M62" s="51"/>
      <c r="AB62" s="51"/>
    </row>
    <row r="63" spans="1:28" ht="15.75" thickBot="1" x14ac:dyDescent="0.3">
      <c r="A63" s="50"/>
      <c r="B63" s="50"/>
      <c r="E63" s="2"/>
      <c r="F63" s="69" t="s">
        <v>123</v>
      </c>
      <c r="G63" s="70">
        <f>(J55-(D55*G62))/E55</f>
        <v>15</v>
      </c>
      <c r="M63" s="51"/>
      <c r="AB63" s="51"/>
    </row>
    <row r="64" spans="1:28" ht="15.75" thickBot="1" x14ac:dyDescent="0.3">
      <c r="A64" s="50"/>
      <c r="B64" s="50"/>
      <c r="E64" s="2"/>
      <c r="F64" s="69" t="s">
        <v>124</v>
      </c>
      <c r="G64" s="70">
        <f>(J56-(D56*G62)-(E56*G63))/F56</f>
        <v>-97</v>
      </c>
      <c r="M64" s="51"/>
      <c r="AB64" s="51"/>
    </row>
    <row r="65" spans="1:28" ht="15.75" thickBot="1" x14ac:dyDescent="0.3">
      <c r="A65" s="50"/>
      <c r="B65" s="52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40"/>
      <c r="AB65" s="51"/>
    </row>
    <row r="66" spans="1:28" x14ac:dyDescent="0.25">
      <c r="A66" s="50"/>
      <c r="AB66" s="51"/>
    </row>
    <row r="67" spans="1:28" x14ac:dyDescent="0.25">
      <c r="A67" s="50"/>
      <c r="AB67" s="51"/>
    </row>
    <row r="68" spans="1:28" x14ac:dyDescent="0.25">
      <c r="A68" s="50"/>
      <c r="AB68" s="51"/>
    </row>
    <row r="69" spans="1:28" x14ac:dyDescent="0.25">
      <c r="A69" s="50"/>
      <c r="AB69" s="51"/>
    </row>
    <row r="70" spans="1:28" ht="15.75" thickBot="1" x14ac:dyDescent="0.3">
      <c r="A70" s="50"/>
      <c r="AB70" s="51"/>
    </row>
    <row r="71" spans="1:28" x14ac:dyDescent="0.25">
      <c r="A71" s="50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9"/>
      <c r="AB71" s="51"/>
    </row>
    <row r="72" spans="1:28" ht="15.75" thickBot="1" x14ac:dyDescent="0.3">
      <c r="A72" s="50"/>
      <c r="B72" s="50"/>
      <c r="M72" s="51"/>
      <c r="AB72" s="51"/>
    </row>
    <row r="73" spans="1:28" ht="15.75" thickBot="1" x14ac:dyDescent="0.3">
      <c r="A73" s="50"/>
      <c r="B73" s="50"/>
      <c r="C73" s="2"/>
      <c r="D73" s="2"/>
      <c r="E73" s="111" t="s">
        <v>72</v>
      </c>
      <c r="F73" s="129" t="s">
        <v>36</v>
      </c>
      <c r="G73" s="112" t="s">
        <v>30</v>
      </c>
      <c r="H73" s="129" t="s">
        <v>32</v>
      </c>
      <c r="I73" s="113" t="s">
        <v>114</v>
      </c>
      <c r="M73" s="51"/>
      <c r="AB73" s="51"/>
    </row>
    <row r="74" spans="1:28" ht="15.75" thickBot="1" x14ac:dyDescent="0.3">
      <c r="A74" s="50"/>
      <c r="B74" s="50"/>
      <c r="C74" s="2"/>
      <c r="D74" s="2"/>
      <c r="E74" s="2"/>
      <c r="F74" s="2"/>
      <c r="G74" s="2"/>
      <c r="H74" s="2"/>
      <c r="I74" s="2"/>
      <c r="M74" s="51"/>
      <c r="AB74" s="51"/>
    </row>
    <row r="75" spans="1:28" x14ac:dyDescent="0.25">
      <c r="A75" s="50"/>
      <c r="B75" s="50"/>
      <c r="C75" s="124">
        <f t="shared" ref="C75:E77" si="2">F42</f>
        <v>1</v>
      </c>
      <c r="D75" s="53">
        <f t="shared" si="2"/>
        <v>2</v>
      </c>
      <c r="E75" s="103">
        <f t="shared" si="2"/>
        <v>3</v>
      </c>
      <c r="F75" s="422" t="s">
        <v>30</v>
      </c>
      <c r="G75" s="126" t="str">
        <f>J42</f>
        <v>a</v>
      </c>
      <c r="H75" s="422" t="s">
        <v>32</v>
      </c>
      <c r="I75" s="126">
        <f>G62</f>
        <v>5</v>
      </c>
      <c r="M75" s="51"/>
      <c r="AB75" s="51"/>
    </row>
    <row r="76" spans="1:28" x14ac:dyDescent="0.25">
      <c r="A76" s="50"/>
      <c r="B76" s="50"/>
      <c r="C76" s="98">
        <f t="shared" si="2"/>
        <v>0</v>
      </c>
      <c r="D76" s="2">
        <f t="shared" si="2"/>
        <v>-1</v>
      </c>
      <c r="E76" s="99">
        <f t="shared" si="2"/>
        <v>2</v>
      </c>
      <c r="F76" s="422"/>
      <c r="G76" s="127" t="str">
        <f>J43</f>
        <v>b</v>
      </c>
      <c r="H76" s="422"/>
      <c r="I76" s="127">
        <f>G63</f>
        <v>15</v>
      </c>
      <c r="M76" s="51"/>
      <c r="AB76" s="51"/>
    </row>
    <row r="77" spans="1:28" ht="15.75" thickBot="1" x14ac:dyDescent="0.3">
      <c r="A77" s="50"/>
      <c r="B77" s="50"/>
      <c r="C77" s="100">
        <f t="shared" si="2"/>
        <v>0</v>
      </c>
      <c r="D77" s="101">
        <f t="shared" si="2"/>
        <v>0</v>
      </c>
      <c r="E77" s="102">
        <f t="shared" si="2"/>
        <v>-5</v>
      </c>
      <c r="F77" s="422"/>
      <c r="G77" s="128" t="str">
        <f>J44</f>
        <v>c</v>
      </c>
      <c r="H77" s="422"/>
      <c r="I77" s="128">
        <f>G64</f>
        <v>-97</v>
      </c>
      <c r="M77" s="51"/>
      <c r="AB77" s="51"/>
    </row>
    <row r="78" spans="1:28" x14ac:dyDescent="0.25">
      <c r="A78" s="50"/>
      <c r="B78" s="50"/>
      <c r="M78" s="51"/>
      <c r="AB78" s="51"/>
    </row>
    <row r="79" spans="1:28" ht="15.75" thickBot="1" x14ac:dyDescent="0.3">
      <c r="A79" s="50"/>
      <c r="B79" s="50"/>
      <c r="M79" s="51"/>
      <c r="AB79" s="51"/>
    </row>
    <row r="80" spans="1:28" x14ac:dyDescent="0.25">
      <c r="A80" s="50"/>
      <c r="B80" s="50"/>
      <c r="D80" s="14" t="str">
        <f>G77</f>
        <v>c</v>
      </c>
      <c r="E80" s="15" t="s">
        <v>32</v>
      </c>
      <c r="F80" s="16">
        <f>I77/E77</f>
        <v>19.399999999999999</v>
      </c>
      <c r="G80" s="119" t="s">
        <v>55</v>
      </c>
      <c r="H80" s="117" t="s">
        <v>56</v>
      </c>
      <c r="I80" s="117"/>
      <c r="J80" s="117"/>
      <c r="M80" s="51"/>
      <c r="AB80" s="51"/>
    </row>
    <row r="81" spans="1:34" x14ac:dyDescent="0.25">
      <c r="A81" s="50"/>
      <c r="B81" s="50"/>
      <c r="D81" s="27" t="str">
        <f>G76</f>
        <v>b</v>
      </c>
      <c r="E81" s="26" t="s">
        <v>32</v>
      </c>
      <c r="F81" s="28">
        <f>(I76-(E76*F80))/D76</f>
        <v>23.799999999999997</v>
      </c>
      <c r="G81" s="119" t="str">
        <f>G80</f>
        <v>&lt;&lt;&lt;&lt;&lt;&lt;</v>
      </c>
      <c r="H81" s="117" t="s">
        <v>57</v>
      </c>
      <c r="I81" s="117"/>
      <c r="J81" s="117"/>
      <c r="M81" s="51"/>
      <c r="AB81" s="51"/>
    </row>
    <row r="82" spans="1:34" ht="15.75" thickBot="1" x14ac:dyDescent="0.3">
      <c r="A82" s="50"/>
      <c r="B82" s="50"/>
      <c r="D82" s="17" t="str">
        <f>G75</f>
        <v>a</v>
      </c>
      <c r="E82" s="18" t="s">
        <v>32</v>
      </c>
      <c r="F82" s="19">
        <f>(I75-(D75*F81)-(E75*F80))/C75</f>
        <v>-100.79999999999998</v>
      </c>
      <c r="G82" s="119" t="str">
        <f>G81</f>
        <v>&lt;&lt;&lt;&lt;&lt;&lt;</v>
      </c>
      <c r="H82" s="117" t="s">
        <v>58</v>
      </c>
      <c r="I82" s="117"/>
      <c r="J82" s="117"/>
      <c r="M82" s="51"/>
      <c r="AB82" s="51"/>
    </row>
    <row r="83" spans="1:34" x14ac:dyDescent="0.25">
      <c r="A83" s="50"/>
      <c r="B83" s="50"/>
      <c r="M83" s="51"/>
      <c r="AB83" s="51"/>
    </row>
    <row r="84" spans="1:34" x14ac:dyDescent="0.25">
      <c r="A84" s="50"/>
      <c r="B84" s="50"/>
      <c r="M84" s="51"/>
      <c r="AB84" s="51"/>
    </row>
    <row r="85" spans="1:34" ht="15.75" thickBot="1" x14ac:dyDescent="0.3">
      <c r="A85" s="50"/>
      <c r="B85" s="52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40"/>
      <c r="AB85" s="51"/>
    </row>
    <row r="86" spans="1:34" x14ac:dyDescent="0.25">
      <c r="A86" s="50"/>
      <c r="AB86" s="51"/>
    </row>
    <row r="87" spans="1:34" ht="15.75" thickBot="1" x14ac:dyDescent="0.3">
      <c r="A87" s="50"/>
      <c r="AB87" s="51"/>
    </row>
    <row r="88" spans="1:34" ht="15" customHeight="1" x14ac:dyDescent="0.25">
      <c r="A88" s="464" t="s">
        <v>365</v>
      </c>
      <c r="B88" s="465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5"/>
      <c r="V88" s="465"/>
      <c r="W88" s="465"/>
      <c r="X88" s="465"/>
      <c r="Y88" s="465"/>
      <c r="Z88" s="465"/>
      <c r="AA88" s="465"/>
      <c r="AB88" s="465"/>
      <c r="AC88" s="465"/>
      <c r="AD88" s="465"/>
      <c r="AE88" s="465"/>
      <c r="AF88" s="465"/>
      <c r="AG88" s="465"/>
      <c r="AH88" s="466"/>
    </row>
    <row r="89" spans="1:34" ht="22.5" customHeight="1" thickBot="1" x14ac:dyDescent="0.3">
      <c r="A89" s="467"/>
      <c r="B89" s="468"/>
      <c r="C89" s="468"/>
      <c r="D89" s="468"/>
      <c r="E89" s="468"/>
      <c r="F89" s="468"/>
      <c r="G89" s="468"/>
      <c r="H89" s="468"/>
      <c r="I89" s="468"/>
      <c r="J89" s="468"/>
      <c r="K89" s="468"/>
      <c r="L89" s="468"/>
      <c r="M89" s="468"/>
      <c r="N89" s="468"/>
      <c r="O89" s="468"/>
      <c r="P89" s="468"/>
      <c r="Q89" s="468"/>
      <c r="R89" s="468"/>
      <c r="S89" s="468"/>
      <c r="T89" s="468"/>
      <c r="U89" s="468"/>
      <c r="V89" s="468"/>
      <c r="W89" s="468"/>
      <c r="X89" s="468"/>
      <c r="Y89" s="468"/>
      <c r="Z89" s="468"/>
      <c r="AA89" s="468"/>
      <c r="AB89" s="468"/>
      <c r="AC89" s="468"/>
      <c r="AD89" s="468"/>
      <c r="AE89" s="468"/>
      <c r="AF89" s="468"/>
      <c r="AG89" s="468"/>
      <c r="AH89" s="469"/>
    </row>
    <row r="90" spans="1:34" ht="22.5" customHeight="1" thickBot="1" x14ac:dyDescent="0.3">
      <c r="A90" s="257"/>
      <c r="B90" s="257"/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7"/>
      <c r="U90" s="257"/>
      <c r="V90" s="257"/>
      <c r="W90" s="257"/>
      <c r="X90" s="257"/>
      <c r="Y90" s="257"/>
      <c r="Z90" s="257"/>
      <c r="AA90" s="257"/>
      <c r="AB90" s="257"/>
      <c r="AC90" s="257"/>
      <c r="AD90" s="257"/>
      <c r="AE90" s="257"/>
      <c r="AF90" s="257"/>
      <c r="AG90" s="257"/>
      <c r="AH90" s="321"/>
    </row>
    <row r="91" spans="1:34" ht="21" customHeight="1" thickBot="1" x14ac:dyDescent="0.3">
      <c r="A91" s="257"/>
      <c r="B91" s="307"/>
      <c r="C91" s="308"/>
      <c r="D91" s="308"/>
      <c r="E91" s="308"/>
      <c r="F91" s="308"/>
      <c r="G91" s="308"/>
      <c r="H91" s="308"/>
      <c r="I91" s="308"/>
      <c r="J91" s="308"/>
      <c r="K91" s="308"/>
      <c r="L91" s="308"/>
      <c r="M91" s="308"/>
      <c r="N91" s="308"/>
      <c r="O91" s="308"/>
      <c r="P91" s="309"/>
      <c r="Q91" s="257"/>
      <c r="R91" s="257"/>
      <c r="S91" s="490" t="s">
        <v>113</v>
      </c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2"/>
    </row>
    <row r="92" spans="1:34" ht="15.75" thickBot="1" x14ac:dyDescent="0.3">
      <c r="A92" s="50"/>
      <c r="B92" s="50"/>
      <c r="C92" s="470" t="s">
        <v>34</v>
      </c>
      <c r="D92" s="471"/>
      <c r="E92" s="471"/>
      <c r="F92" s="471"/>
      <c r="G92" s="471" t="s">
        <v>36</v>
      </c>
      <c r="H92" s="471" t="s">
        <v>30</v>
      </c>
      <c r="I92" s="471" t="s">
        <v>32</v>
      </c>
      <c r="J92" s="474" t="s">
        <v>35</v>
      </c>
      <c r="P92" s="51"/>
      <c r="S92" s="493"/>
      <c r="T92" s="494"/>
      <c r="U92" s="494"/>
      <c r="V92" s="494"/>
      <c r="W92" s="494"/>
      <c r="X92" s="494"/>
      <c r="Y92" s="494"/>
      <c r="Z92" s="494"/>
      <c r="AA92" s="494"/>
      <c r="AB92" s="494"/>
      <c r="AC92" s="494"/>
      <c r="AD92" s="494"/>
      <c r="AE92" s="494"/>
      <c r="AF92" s="494"/>
      <c r="AG92" s="494"/>
      <c r="AH92" s="495"/>
    </row>
    <row r="93" spans="1:34" ht="15.75" thickBot="1" x14ac:dyDescent="0.3">
      <c r="A93" s="50"/>
      <c r="B93" s="50"/>
      <c r="C93" s="472"/>
      <c r="D93" s="473"/>
      <c r="E93" s="473"/>
      <c r="F93" s="473"/>
      <c r="G93" s="473"/>
      <c r="H93" s="473"/>
      <c r="I93" s="473"/>
      <c r="J93" s="475"/>
      <c r="P93" s="51"/>
      <c r="S93" s="47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9"/>
    </row>
    <row r="94" spans="1:34" ht="15.75" thickBot="1" x14ac:dyDescent="0.3">
      <c r="A94" s="50"/>
      <c r="B94" s="50"/>
      <c r="P94" s="51"/>
      <c r="S94" s="50"/>
      <c r="T94" s="498" t="s">
        <v>71</v>
      </c>
      <c r="U94" s="486"/>
      <c r="V94" s="486"/>
      <c r="W94" s="486"/>
      <c r="X94" s="486" t="s">
        <v>36</v>
      </c>
      <c r="Y94" s="486" t="s">
        <v>72</v>
      </c>
      <c r="Z94" s="486"/>
      <c r="AA94" s="486"/>
      <c r="AB94" s="486"/>
      <c r="AC94" s="486" t="s">
        <v>32</v>
      </c>
      <c r="AD94" s="486" t="s">
        <v>70</v>
      </c>
      <c r="AE94" s="486"/>
      <c r="AF94" s="486"/>
      <c r="AG94" s="487"/>
      <c r="AH94" s="51"/>
    </row>
    <row r="95" spans="1:34" ht="15.75" thickBot="1" x14ac:dyDescent="0.3">
      <c r="A95" s="50"/>
      <c r="B95" s="50"/>
      <c r="C95" s="278">
        <v>2</v>
      </c>
      <c r="D95" s="274">
        <v>4</v>
      </c>
      <c r="E95" s="274">
        <v>-2</v>
      </c>
      <c r="F95" s="276">
        <v>-2</v>
      </c>
      <c r="G95" s="477" t="s">
        <v>30</v>
      </c>
      <c r="H95" s="270" t="s">
        <v>127</v>
      </c>
      <c r="I95" s="483" t="s">
        <v>32</v>
      </c>
      <c r="J95" s="270">
        <v>-4</v>
      </c>
      <c r="P95" s="51"/>
      <c r="S95" s="50"/>
      <c r="T95" s="499"/>
      <c r="U95" s="488"/>
      <c r="V95" s="488"/>
      <c r="W95" s="488"/>
      <c r="X95" s="488"/>
      <c r="Y95" s="488"/>
      <c r="Z95" s="488"/>
      <c r="AA95" s="488"/>
      <c r="AB95" s="488"/>
      <c r="AC95" s="488"/>
      <c r="AD95" s="488"/>
      <c r="AE95" s="488"/>
      <c r="AF95" s="488"/>
      <c r="AG95" s="489"/>
      <c r="AH95" s="51"/>
    </row>
    <row r="96" spans="1:34" ht="15.75" thickBot="1" x14ac:dyDescent="0.3">
      <c r="A96" s="50"/>
      <c r="B96" s="50"/>
      <c r="C96" s="272">
        <v>4</v>
      </c>
      <c r="D96" s="172">
        <v>2</v>
      </c>
      <c r="E96" s="172">
        <v>4</v>
      </c>
      <c r="F96" s="273">
        <v>-3</v>
      </c>
      <c r="G96" s="477"/>
      <c r="H96" s="269" t="s">
        <v>128</v>
      </c>
      <c r="I96" s="483"/>
      <c r="J96" s="269">
        <v>5</v>
      </c>
      <c r="P96" s="51"/>
      <c r="S96" s="50"/>
      <c r="AH96" s="51"/>
    </row>
    <row r="97" spans="1:34" ht="15.75" x14ac:dyDescent="0.25">
      <c r="A97" s="50"/>
      <c r="B97" s="50"/>
      <c r="C97" s="272">
        <v>-3</v>
      </c>
      <c r="D97" s="172">
        <v>-3</v>
      </c>
      <c r="E97" s="172">
        <v>8</v>
      </c>
      <c r="F97" s="273">
        <v>-2</v>
      </c>
      <c r="G97" s="477"/>
      <c r="H97" s="269" t="s">
        <v>129</v>
      </c>
      <c r="I97" s="483"/>
      <c r="J97" s="269">
        <v>7</v>
      </c>
      <c r="K97" s="257"/>
      <c r="L97" s="257"/>
      <c r="M97" s="257"/>
      <c r="N97" s="257"/>
      <c r="P97" s="51"/>
      <c r="S97" s="50"/>
      <c r="T97" s="124" t="s">
        <v>73</v>
      </c>
      <c r="U97" s="53">
        <v>0</v>
      </c>
      <c r="V97" s="53">
        <v>0</v>
      </c>
      <c r="W97" s="103">
        <v>0</v>
      </c>
      <c r="X97" s="477" t="s">
        <v>30</v>
      </c>
      <c r="Y97" s="124" t="s">
        <v>79</v>
      </c>
      <c r="Z97" s="53" t="s">
        <v>80</v>
      </c>
      <c r="AA97" s="53" t="s">
        <v>81</v>
      </c>
      <c r="AB97" s="103" t="s">
        <v>315</v>
      </c>
      <c r="AC97" s="483" t="s">
        <v>32</v>
      </c>
      <c r="AD97" s="124" t="str">
        <f>T97&amp;Y97</f>
        <v>L11U11</v>
      </c>
      <c r="AE97" s="53" t="str">
        <f>T97&amp;Z97</f>
        <v>L11U12</v>
      </c>
      <c r="AF97" s="53" t="str">
        <f>T97&amp;AA97</f>
        <v>L11U13</v>
      </c>
      <c r="AG97" s="103" t="str">
        <f>T97&amp;AB97</f>
        <v>L11U14</v>
      </c>
      <c r="AH97" s="51"/>
    </row>
    <row r="98" spans="1:34" ht="16.5" thickBot="1" x14ac:dyDescent="0.3">
      <c r="A98" s="50"/>
      <c r="B98" s="50"/>
      <c r="C98" s="279">
        <v>-1</v>
      </c>
      <c r="D98" s="275">
        <v>1</v>
      </c>
      <c r="E98" s="275">
        <v>6</v>
      </c>
      <c r="F98" s="277">
        <v>-3</v>
      </c>
      <c r="G98" s="477"/>
      <c r="H98" s="271" t="s">
        <v>235</v>
      </c>
      <c r="I98" s="483"/>
      <c r="J98" s="271">
        <v>7</v>
      </c>
      <c r="K98" s="257"/>
      <c r="L98" s="257"/>
      <c r="M98" s="257"/>
      <c r="N98" s="257"/>
      <c r="P98" s="51"/>
      <c r="S98" s="50"/>
      <c r="T98" s="98" t="s">
        <v>74</v>
      </c>
      <c r="U98" s="2" t="s">
        <v>76</v>
      </c>
      <c r="V98" s="2">
        <v>0</v>
      </c>
      <c r="W98" s="99">
        <v>0</v>
      </c>
      <c r="X98" s="477"/>
      <c r="Y98" s="98">
        <v>0</v>
      </c>
      <c r="Z98" s="2" t="s">
        <v>82</v>
      </c>
      <c r="AA98" s="2" t="s">
        <v>83</v>
      </c>
      <c r="AB98" s="99" t="s">
        <v>316</v>
      </c>
      <c r="AC98" s="483"/>
      <c r="AD98" s="98" t="str">
        <f>T98&amp;Y97</f>
        <v>L21U11</v>
      </c>
      <c r="AE98" s="2" t="str">
        <f>(T98&amp;Z97) &amp; "+" &amp; (U98&amp;Z98)</f>
        <v>L21U12+L22U22</v>
      </c>
      <c r="AF98" s="2" t="s">
        <v>319</v>
      </c>
      <c r="AG98" s="99" t="s">
        <v>320</v>
      </c>
      <c r="AH98" s="51"/>
    </row>
    <row r="99" spans="1:34" ht="15.75" x14ac:dyDescent="0.25">
      <c r="A99" s="50"/>
      <c r="B99" s="50"/>
      <c r="K99" s="257"/>
      <c r="L99" s="257"/>
      <c r="M99" s="257"/>
      <c r="N99" s="257"/>
      <c r="P99" s="51"/>
      <c r="S99" s="50"/>
      <c r="T99" s="98" t="s">
        <v>75</v>
      </c>
      <c r="U99" s="2" t="s">
        <v>77</v>
      </c>
      <c r="V99" s="2" t="s">
        <v>78</v>
      </c>
      <c r="W99" s="99">
        <v>0</v>
      </c>
      <c r="X99" s="477"/>
      <c r="Y99" s="98">
        <v>0</v>
      </c>
      <c r="Z99" s="2">
        <v>0</v>
      </c>
      <c r="AA99" s="2" t="s">
        <v>84</v>
      </c>
      <c r="AB99" s="99" t="s">
        <v>317</v>
      </c>
      <c r="AC99" s="483"/>
      <c r="AD99" s="98" t="s">
        <v>87</v>
      </c>
      <c r="AE99" s="2" t="s">
        <v>321</v>
      </c>
      <c r="AF99" s="2" t="s">
        <v>322</v>
      </c>
      <c r="AG99" s="99" t="s">
        <v>323</v>
      </c>
      <c r="AH99" s="51"/>
    </row>
    <row r="100" spans="1:34" ht="16.5" thickBot="1" x14ac:dyDescent="0.3">
      <c r="A100" s="50"/>
      <c r="B100" s="50"/>
      <c r="K100" s="257"/>
      <c r="L100" s="257"/>
      <c r="M100" s="257"/>
      <c r="N100" s="257"/>
      <c r="O100" s="206"/>
      <c r="P100" s="51"/>
      <c r="S100" s="50"/>
      <c r="T100" s="100" t="s">
        <v>311</v>
      </c>
      <c r="U100" s="101" t="s">
        <v>312</v>
      </c>
      <c r="V100" s="101" t="s">
        <v>313</v>
      </c>
      <c r="W100" s="102" t="s">
        <v>314</v>
      </c>
      <c r="X100" s="477"/>
      <c r="Y100" s="100">
        <v>0</v>
      </c>
      <c r="Z100" s="101">
        <v>0</v>
      </c>
      <c r="AA100" s="101">
        <v>0</v>
      </c>
      <c r="AB100" s="102" t="s">
        <v>318</v>
      </c>
      <c r="AC100" s="483"/>
      <c r="AD100" s="100" t="s">
        <v>324</v>
      </c>
      <c r="AE100" s="101" t="s">
        <v>325</v>
      </c>
      <c r="AF100" s="101" t="s">
        <v>326</v>
      </c>
      <c r="AG100" s="102" t="s">
        <v>327</v>
      </c>
      <c r="AH100" s="51"/>
    </row>
    <row r="101" spans="1:34" ht="15.75" x14ac:dyDescent="0.25">
      <c r="A101" s="50"/>
      <c r="B101" s="50"/>
      <c r="D101" s="3" t="s">
        <v>259</v>
      </c>
      <c r="E101" s="206"/>
      <c r="F101" s="206"/>
      <c r="K101" s="257"/>
      <c r="L101" s="257"/>
      <c r="M101" s="257"/>
      <c r="N101" s="257"/>
      <c r="P101" s="51"/>
      <c r="S101" s="50"/>
      <c r="AH101" s="51"/>
    </row>
    <row r="102" spans="1:34" ht="15.75" x14ac:dyDescent="0.25">
      <c r="A102" s="50"/>
      <c r="B102" s="50"/>
      <c r="K102" s="257"/>
      <c r="L102" s="257"/>
      <c r="M102" s="257"/>
      <c r="N102" s="257"/>
      <c r="P102" s="51"/>
      <c r="S102" s="50"/>
      <c r="AH102" s="51"/>
    </row>
    <row r="103" spans="1:34" ht="15.75" thickBot="1" x14ac:dyDescent="0.3">
      <c r="A103" s="50"/>
      <c r="B103" s="50"/>
      <c r="P103" s="51"/>
      <c r="S103" s="52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40"/>
    </row>
    <row r="104" spans="1:34" x14ac:dyDescent="0.25">
      <c r="A104" s="50"/>
      <c r="B104" s="50"/>
      <c r="C104" s="484" t="s">
        <v>255</v>
      </c>
      <c r="D104" s="479"/>
      <c r="E104" s="479"/>
      <c r="F104" s="479"/>
      <c r="G104" s="479" t="s">
        <v>36</v>
      </c>
      <c r="H104" s="479" t="s">
        <v>256</v>
      </c>
      <c r="I104" s="479"/>
      <c r="J104" s="479"/>
      <c r="K104" s="479"/>
      <c r="L104" s="479" t="s">
        <v>36</v>
      </c>
      <c r="M104" s="479" t="s">
        <v>30</v>
      </c>
      <c r="N104" s="479" t="s">
        <v>32</v>
      </c>
      <c r="O104" s="481" t="s">
        <v>35</v>
      </c>
      <c r="P104" s="51"/>
      <c r="AH104" s="51"/>
    </row>
    <row r="105" spans="1:34" ht="15.75" thickBot="1" x14ac:dyDescent="0.3">
      <c r="A105" s="50"/>
      <c r="B105" s="50"/>
      <c r="C105" s="485"/>
      <c r="D105" s="480"/>
      <c r="E105" s="480"/>
      <c r="F105" s="480"/>
      <c r="G105" s="480"/>
      <c r="H105" s="480"/>
      <c r="I105" s="480"/>
      <c r="J105" s="480"/>
      <c r="K105" s="480"/>
      <c r="L105" s="480"/>
      <c r="M105" s="480"/>
      <c r="N105" s="480"/>
      <c r="O105" s="482"/>
      <c r="P105" s="51"/>
      <c r="AH105" s="51"/>
    </row>
    <row r="106" spans="1:34" ht="15.75" thickBot="1" x14ac:dyDescent="0.3">
      <c r="A106" s="50"/>
      <c r="B106" s="50"/>
      <c r="C106" s="124" t="s">
        <v>73</v>
      </c>
      <c r="D106" s="53">
        <v>0</v>
      </c>
      <c r="E106" s="53">
        <v>0</v>
      </c>
      <c r="F106" s="103">
        <v>0</v>
      </c>
      <c r="G106" s="476" t="s">
        <v>30</v>
      </c>
      <c r="H106" s="124" t="s">
        <v>79</v>
      </c>
      <c r="I106" s="53" t="s">
        <v>80</v>
      </c>
      <c r="J106" s="53" t="s">
        <v>81</v>
      </c>
      <c r="K106" s="103" t="s">
        <v>315</v>
      </c>
      <c r="L106" s="476" t="s">
        <v>30</v>
      </c>
      <c r="M106" s="126" t="str">
        <f>H95</f>
        <v>a</v>
      </c>
      <c r="N106" s="496" t="s">
        <v>32</v>
      </c>
      <c r="O106" s="126">
        <f>J95</f>
        <v>-4</v>
      </c>
      <c r="P106" s="51"/>
      <c r="AH106" s="51"/>
    </row>
    <row r="107" spans="1:34" ht="21" customHeight="1" x14ac:dyDescent="0.25">
      <c r="A107" s="50"/>
      <c r="B107" s="50"/>
      <c r="C107" s="98" t="s">
        <v>74</v>
      </c>
      <c r="D107" s="2" t="s">
        <v>76</v>
      </c>
      <c r="E107" s="2">
        <v>0</v>
      </c>
      <c r="F107" s="99">
        <v>0</v>
      </c>
      <c r="G107" s="477"/>
      <c r="H107" s="98">
        <v>0</v>
      </c>
      <c r="I107" s="2" t="s">
        <v>82</v>
      </c>
      <c r="J107" s="2" t="s">
        <v>83</v>
      </c>
      <c r="K107" s="99" t="s">
        <v>316</v>
      </c>
      <c r="L107" s="477"/>
      <c r="M107" s="127" t="str">
        <f>H96</f>
        <v>b</v>
      </c>
      <c r="N107" s="483"/>
      <c r="O107" s="127">
        <f>J96</f>
        <v>5</v>
      </c>
      <c r="P107" s="51"/>
      <c r="S107" s="522" t="s">
        <v>120</v>
      </c>
      <c r="T107" s="523"/>
      <c r="U107" s="523"/>
      <c r="V107" s="523"/>
      <c r="W107" s="523"/>
      <c r="X107" s="523"/>
      <c r="Y107" s="523"/>
      <c r="Z107" s="523"/>
      <c r="AA107" s="523"/>
      <c r="AB107" s="523"/>
      <c r="AC107" s="523"/>
      <c r="AD107" s="523"/>
      <c r="AE107" s="523"/>
      <c r="AF107" s="523"/>
      <c r="AG107" s="523"/>
      <c r="AH107" s="524"/>
    </row>
    <row r="108" spans="1:34" ht="15.75" thickBot="1" x14ac:dyDescent="0.3">
      <c r="A108" s="50"/>
      <c r="B108" s="50"/>
      <c r="C108" s="98" t="s">
        <v>75</v>
      </c>
      <c r="D108" s="2" t="s">
        <v>77</v>
      </c>
      <c r="E108" s="2" t="s">
        <v>78</v>
      </c>
      <c r="F108" s="99">
        <v>0</v>
      </c>
      <c r="G108" s="477"/>
      <c r="H108" s="98">
        <v>0</v>
      </c>
      <c r="I108" s="2">
        <v>0</v>
      </c>
      <c r="J108" s="2" t="s">
        <v>84</v>
      </c>
      <c r="K108" s="99" t="s">
        <v>317</v>
      </c>
      <c r="L108" s="477"/>
      <c r="M108" s="127" t="str">
        <f>H97</f>
        <v>c</v>
      </c>
      <c r="N108" s="483"/>
      <c r="O108" s="127">
        <f>J97</f>
        <v>7</v>
      </c>
      <c r="P108" s="51"/>
      <c r="S108" s="525"/>
      <c r="T108" s="526"/>
      <c r="U108" s="526"/>
      <c r="V108" s="526"/>
      <c r="W108" s="526"/>
      <c r="X108" s="526"/>
      <c r="Y108" s="526"/>
      <c r="Z108" s="526"/>
      <c r="AA108" s="526"/>
      <c r="AB108" s="526"/>
      <c r="AC108" s="526"/>
      <c r="AD108" s="526"/>
      <c r="AE108" s="526"/>
      <c r="AF108" s="526"/>
      <c r="AG108" s="526"/>
      <c r="AH108" s="527"/>
    </row>
    <row r="109" spans="1:34" ht="15.75" thickBot="1" x14ac:dyDescent="0.3">
      <c r="A109" s="50"/>
      <c r="B109" s="50"/>
      <c r="C109" s="100" t="s">
        <v>311</v>
      </c>
      <c r="D109" s="101" t="s">
        <v>312</v>
      </c>
      <c r="E109" s="101" t="s">
        <v>313</v>
      </c>
      <c r="F109" s="102" t="s">
        <v>314</v>
      </c>
      <c r="G109" s="478"/>
      <c r="H109" s="100">
        <v>0</v>
      </c>
      <c r="I109" s="101">
        <v>0</v>
      </c>
      <c r="J109" s="101">
        <v>0</v>
      </c>
      <c r="K109" s="102" t="s">
        <v>318</v>
      </c>
      <c r="L109" s="478"/>
      <c r="M109" s="128" t="str">
        <f>H98</f>
        <v>d</v>
      </c>
      <c r="N109" s="497"/>
      <c r="O109" s="128">
        <f>J98</f>
        <v>7</v>
      </c>
      <c r="P109" s="51"/>
      <c r="S109" s="50"/>
      <c r="AH109" s="51"/>
    </row>
    <row r="110" spans="1:34" ht="16.5" thickBot="1" x14ac:dyDescent="0.3">
      <c r="A110" s="50"/>
      <c r="B110" s="50"/>
      <c r="P110" s="51"/>
      <c r="S110" s="50"/>
      <c r="V110" s="505" t="s">
        <v>93</v>
      </c>
      <c r="W110" s="506"/>
      <c r="X110" s="506"/>
      <c r="Y110" s="506"/>
      <c r="Z110" s="506"/>
      <c r="AA110" s="506"/>
      <c r="AB110" s="506"/>
      <c r="AC110" s="507"/>
      <c r="AH110" s="51"/>
    </row>
    <row r="111" spans="1:34" ht="15.75" thickBot="1" x14ac:dyDescent="0.3">
      <c r="A111" s="50"/>
      <c r="B111" s="50"/>
      <c r="P111" s="51"/>
      <c r="S111" s="50"/>
      <c r="V111" s="514" t="s">
        <v>260</v>
      </c>
      <c r="W111" s="515"/>
      <c r="X111" s="515"/>
      <c r="Y111" s="515"/>
      <c r="Z111" s="515"/>
      <c r="AA111" s="515"/>
      <c r="AB111" s="515"/>
      <c r="AC111" s="516"/>
      <c r="AH111" s="51"/>
    </row>
    <row r="112" spans="1:34" ht="15.75" thickBot="1" x14ac:dyDescent="0.3">
      <c r="A112" s="50"/>
      <c r="B112" s="52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40"/>
      <c r="S112" s="50"/>
      <c r="AH112" s="51"/>
    </row>
    <row r="113" spans="1:34" ht="15.75" thickBot="1" x14ac:dyDescent="0.3">
      <c r="A113" s="50"/>
      <c r="S113" s="50"/>
      <c r="V113" s="69" t="s">
        <v>96</v>
      </c>
      <c r="W113" s="70">
        <v>1</v>
      </c>
      <c r="X113" s="2"/>
      <c r="Y113" s="69" t="s">
        <v>97</v>
      </c>
      <c r="Z113" s="70">
        <v>1</v>
      </c>
      <c r="AA113" s="2"/>
      <c r="AH113" s="51"/>
    </row>
    <row r="114" spans="1:34" ht="15.75" thickBot="1" x14ac:dyDescent="0.3">
      <c r="A114" s="50"/>
      <c r="S114" s="50"/>
      <c r="V114" s="2"/>
      <c r="W114" s="2"/>
      <c r="Y114" s="2"/>
      <c r="Z114" s="2"/>
      <c r="AH114" s="51"/>
    </row>
    <row r="115" spans="1:34" ht="15.75" customHeight="1" thickBot="1" x14ac:dyDescent="0.3">
      <c r="A115" s="50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/>
      <c r="S115" s="50"/>
      <c r="V115" s="69" t="s">
        <v>95</v>
      </c>
      <c r="W115" s="70">
        <v>1</v>
      </c>
      <c r="Y115" s="69" t="s">
        <v>328</v>
      </c>
      <c r="Z115" s="70">
        <v>1</v>
      </c>
      <c r="AH115" s="51"/>
    </row>
    <row r="116" spans="1:34" ht="15.75" customHeight="1" x14ac:dyDescent="0.25">
      <c r="A116" s="50"/>
      <c r="B116" s="50"/>
      <c r="C116" s="484" t="s">
        <v>255</v>
      </c>
      <c r="D116" s="479"/>
      <c r="E116" s="479"/>
      <c r="F116" s="479"/>
      <c r="G116" s="479" t="s">
        <v>36</v>
      </c>
      <c r="H116" s="479" t="s">
        <v>256</v>
      </c>
      <c r="I116" s="479"/>
      <c r="J116" s="479"/>
      <c r="K116" s="479"/>
      <c r="L116" s="479" t="s">
        <v>36</v>
      </c>
      <c r="M116" s="479" t="s">
        <v>30</v>
      </c>
      <c r="N116" s="479" t="s">
        <v>32</v>
      </c>
      <c r="O116" s="481" t="s">
        <v>35</v>
      </c>
      <c r="P116" s="51"/>
      <c r="S116" s="50"/>
      <c r="V116" s="2"/>
      <c r="W116" s="2"/>
      <c r="AH116" s="51"/>
    </row>
    <row r="117" spans="1:34" ht="15.75" thickBot="1" x14ac:dyDescent="0.3">
      <c r="A117" s="50"/>
      <c r="B117" s="50"/>
      <c r="C117" s="485"/>
      <c r="D117" s="480"/>
      <c r="E117" s="480"/>
      <c r="F117" s="480"/>
      <c r="G117" s="480"/>
      <c r="H117" s="480"/>
      <c r="I117" s="480"/>
      <c r="J117" s="480"/>
      <c r="K117" s="480"/>
      <c r="L117" s="480"/>
      <c r="M117" s="480"/>
      <c r="N117" s="480"/>
      <c r="O117" s="482"/>
      <c r="P117" s="51"/>
      <c r="S117" s="50"/>
      <c r="AH117" s="51"/>
    </row>
    <row r="118" spans="1:34" x14ac:dyDescent="0.25">
      <c r="A118" s="50"/>
      <c r="B118" s="50"/>
      <c r="C118" s="124">
        <f>X151</f>
        <v>1</v>
      </c>
      <c r="D118" s="53">
        <f>D106</f>
        <v>0</v>
      </c>
      <c r="E118" s="53">
        <f>E106</f>
        <v>0</v>
      </c>
      <c r="F118" s="103">
        <f>F106</f>
        <v>0</v>
      </c>
      <c r="G118" s="501" t="s">
        <v>30</v>
      </c>
      <c r="H118" s="124">
        <f>U139</f>
        <v>2</v>
      </c>
      <c r="I118" s="53">
        <f>U141</f>
        <v>4</v>
      </c>
      <c r="J118" s="53">
        <f>U144</f>
        <v>-2</v>
      </c>
      <c r="K118" s="103">
        <f>U148</f>
        <v>-2</v>
      </c>
      <c r="L118" s="501" t="s">
        <v>30</v>
      </c>
      <c r="M118" s="126" t="str">
        <f>M106</f>
        <v>a</v>
      </c>
      <c r="N118" s="502" t="s">
        <v>32</v>
      </c>
      <c r="O118" s="126">
        <f>O106</f>
        <v>-4</v>
      </c>
      <c r="P118" s="51"/>
      <c r="S118" s="50"/>
      <c r="AH118" s="51"/>
    </row>
    <row r="119" spans="1:34" ht="15.75" thickBot="1" x14ac:dyDescent="0.3">
      <c r="A119" s="50"/>
      <c r="B119" s="50"/>
      <c r="C119" s="98">
        <f>X150</f>
        <v>2</v>
      </c>
      <c r="D119" s="2">
        <f>X146</f>
        <v>1</v>
      </c>
      <c r="E119" s="2">
        <f>E107</f>
        <v>0</v>
      </c>
      <c r="F119" s="99">
        <f>F107</f>
        <v>0</v>
      </c>
      <c r="G119" s="501"/>
      <c r="H119" s="98">
        <f>H107</f>
        <v>0</v>
      </c>
      <c r="I119" s="2">
        <f>U142</f>
        <v>-6</v>
      </c>
      <c r="J119" s="2">
        <f>U145</f>
        <v>8</v>
      </c>
      <c r="K119" s="99">
        <f>U149</f>
        <v>1</v>
      </c>
      <c r="L119" s="501"/>
      <c r="M119" s="127" t="str">
        <f>M107</f>
        <v>b</v>
      </c>
      <c r="N119" s="502"/>
      <c r="O119" s="127">
        <f>O107</f>
        <v>5</v>
      </c>
      <c r="P119" s="51"/>
      <c r="S119" s="50"/>
      <c r="AH119" s="51"/>
    </row>
    <row r="120" spans="1:34" x14ac:dyDescent="0.25">
      <c r="A120" s="50"/>
      <c r="B120" s="50"/>
      <c r="C120" s="98">
        <f>X149</f>
        <v>-1.5</v>
      </c>
      <c r="D120" s="2">
        <f>X145</f>
        <v>-0.5</v>
      </c>
      <c r="E120" s="2">
        <f>X142</f>
        <v>1</v>
      </c>
      <c r="F120" s="99">
        <f>F108</f>
        <v>0</v>
      </c>
      <c r="G120" s="501"/>
      <c r="H120" s="98">
        <f>H108</f>
        <v>0</v>
      </c>
      <c r="I120" s="2">
        <f>I108</f>
        <v>0</v>
      </c>
      <c r="J120" s="2">
        <f>U146</f>
        <v>9</v>
      </c>
      <c r="K120" s="99">
        <f>U150</f>
        <v>-4.5</v>
      </c>
      <c r="L120" s="501"/>
      <c r="M120" s="127" t="str">
        <f>M108</f>
        <v>c</v>
      </c>
      <c r="N120" s="502"/>
      <c r="O120" s="127">
        <f>O108</f>
        <v>7</v>
      </c>
      <c r="P120" s="51"/>
      <c r="S120" s="50"/>
      <c r="T120" s="498" t="s">
        <v>71</v>
      </c>
      <c r="U120" s="486"/>
      <c r="V120" s="486"/>
      <c r="W120" s="486"/>
      <c r="X120" s="486" t="s">
        <v>36</v>
      </c>
      <c r="Y120" s="486" t="s">
        <v>72</v>
      </c>
      <c r="Z120" s="486"/>
      <c r="AA120" s="486"/>
      <c r="AB120" s="486"/>
      <c r="AC120" s="486" t="s">
        <v>32</v>
      </c>
      <c r="AD120" s="486" t="s">
        <v>70</v>
      </c>
      <c r="AE120" s="486"/>
      <c r="AF120" s="486"/>
      <c r="AG120" s="487"/>
      <c r="AH120" s="51"/>
    </row>
    <row r="121" spans="1:34" ht="15.75" thickBot="1" x14ac:dyDescent="0.3">
      <c r="A121" s="50"/>
      <c r="B121" s="50"/>
      <c r="C121" s="100">
        <f>X148</f>
        <v>-0.5</v>
      </c>
      <c r="D121" s="101">
        <f>X144</f>
        <v>-0.5</v>
      </c>
      <c r="E121" s="101">
        <f>X141</f>
        <v>1</v>
      </c>
      <c r="F121" s="102">
        <f>X139</f>
        <v>1</v>
      </c>
      <c r="G121" s="501"/>
      <c r="H121" s="100">
        <f>H109</f>
        <v>0</v>
      </c>
      <c r="I121" s="101">
        <f>I109</f>
        <v>0</v>
      </c>
      <c r="J121" s="101">
        <f>J109</f>
        <v>0</v>
      </c>
      <c r="K121" s="102">
        <f>U151</f>
        <v>1</v>
      </c>
      <c r="L121" s="501"/>
      <c r="M121" s="128" t="str">
        <f>M109</f>
        <v>d</v>
      </c>
      <c r="N121" s="502"/>
      <c r="O121" s="128">
        <f>O109</f>
        <v>7</v>
      </c>
      <c r="P121" s="51"/>
      <c r="S121" s="50"/>
      <c r="T121" s="499"/>
      <c r="U121" s="488"/>
      <c r="V121" s="488"/>
      <c r="W121" s="488"/>
      <c r="X121" s="488"/>
      <c r="Y121" s="488"/>
      <c r="Z121" s="488"/>
      <c r="AA121" s="488"/>
      <c r="AB121" s="488"/>
      <c r="AC121" s="488"/>
      <c r="AD121" s="488"/>
      <c r="AE121" s="488"/>
      <c r="AF121" s="488"/>
      <c r="AG121" s="489"/>
      <c r="AH121" s="51"/>
    </row>
    <row r="122" spans="1:34" x14ac:dyDescent="0.25">
      <c r="A122" s="50"/>
      <c r="B122" s="50"/>
      <c r="P122" s="51"/>
      <c r="S122" s="50"/>
      <c r="T122" s="124">
        <v>1</v>
      </c>
      <c r="U122" s="53">
        <v>0</v>
      </c>
      <c r="V122" s="53">
        <v>0</v>
      </c>
      <c r="W122" s="103">
        <v>0</v>
      </c>
      <c r="X122" s="501" t="s">
        <v>30</v>
      </c>
      <c r="Y122" s="124" t="s">
        <v>79</v>
      </c>
      <c r="Z122" s="53" t="s">
        <v>80</v>
      </c>
      <c r="AA122" s="53" t="s">
        <v>81</v>
      </c>
      <c r="AB122" s="103" t="s">
        <v>315</v>
      </c>
      <c r="AC122" s="502" t="s">
        <v>32</v>
      </c>
      <c r="AD122" s="124" t="s">
        <v>79</v>
      </c>
      <c r="AE122" s="53" t="s">
        <v>80</v>
      </c>
      <c r="AF122" s="53" t="s">
        <v>81</v>
      </c>
      <c r="AG122" s="103" t="s">
        <v>315</v>
      </c>
      <c r="AH122" s="51"/>
    </row>
    <row r="123" spans="1:34" x14ac:dyDescent="0.25">
      <c r="A123" s="50"/>
      <c r="B123" s="50"/>
      <c r="P123" s="51"/>
      <c r="S123" s="50"/>
      <c r="T123" s="98" t="s">
        <v>74</v>
      </c>
      <c r="U123" s="2">
        <v>1</v>
      </c>
      <c r="V123" s="2">
        <v>0</v>
      </c>
      <c r="W123" s="99">
        <v>0</v>
      </c>
      <c r="X123" s="501"/>
      <c r="Y123" s="98">
        <v>0</v>
      </c>
      <c r="Z123" s="2" t="s">
        <v>82</v>
      </c>
      <c r="AA123" s="2" t="s">
        <v>83</v>
      </c>
      <c r="AB123" s="99" t="s">
        <v>316</v>
      </c>
      <c r="AC123" s="502"/>
      <c r="AD123" s="98" t="s">
        <v>86</v>
      </c>
      <c r="AE123" s="2" t="s">
        <v>98</v>
      </c>
      <c r="AF123" s="2" t="s">
        <v>329</v>
      </c>
      <c r="AG123" s="99" t="s">
        <v>330</v>
      </c>
      <c r="AH123" s="51"/>
    </row>
    <row r="124" spans="1:34" x14ac:dyDescent="0.25">
      <c r="A124" s="50"/>
      <c r="B124" s="50"/>
      <c r="P124" s="51"/>
      <c r="S124" s="50"/>
      <c r="T124" s="98" t="s">
        <v>75</v>
      </c>
      <c r="U124" s="2" t="s">
        <v>77</v>
      </c>
      <c r="V124" s="2">
        <v>1</v>
      </c>
      <c r="W124" s="99">
        <v>0</v>
      </c>
      <c r="X124" s="501"/>
      <c r="Y124" s="98">
        <v>0</v>
      </c>
      <c r="Z124" s="2">
        <v>0</v>
      </c>
      <c r="AA124" s="2" t="s">
        <v>84</v>
      </c>
      <c r="AB124" s="99" t="s">
        <v>317</v>
      </c>
      <c r="AC124" s="502"/>
      <c r="AD124" s="98" t="s">
        <v>87</v>
      </c>
      <c r="AE124" s="2" t="s">
        <v>321</v>
      </c>
      <c r="AF124" s="2" t="s">
        <v>331</v>
      </c>
      <c r="AG124" s="99" t="s">
        <v>332</v>
      </c>
      <c r="AH124" s="51"/>
    </row>
    <row r="125" spans="1:34" ht="15.75" thickBot="1" x14ac:dyDescent="0.3">
      <c r="A125" s="50"/>
      <c r="B125" s="50"/>
      <c r="P125" s="51"/>
      <c r="S125" s="50"/>
      <c r="T125" s="100" t="s">
        <v>311</v>
      </c>
      <c r="U125" s="101" t="s">
        <v>312</v>
      </c>
      <c r="V125" s="101" t="s">
        <v>313</v>
      </c>
      <c r="W125" s="102">
        <v>1</v>
      </c>
      <c r="X125" s="501"/>
      <c r="Y125" s="100">
        <v>0</v>
      </c>
      <c r="Z125" s="101">
        <v>0</v>
      </c>
      <c r="AA125" s="101">
        <v>0</v>
      </c>
      <c r="AB125" s="102" t="s">
        <v>318</v>
      </c>
      <c r="AC125" s="502"/>
      <c r="AD125" s="100" t="s">
        <v>324</v>
      </c>
      <c r="AE125" s="101" t="s">
        <v>325</v>
      </c>
      <c r="AF125" s="101" t="s">
        <v>326</v>
      </c>
      <c r="AG125" s="102" t="s">
        <v>333</v>
      </c>
      <c r="AH125" s="51"/>
    </row>
    <row r="126" spans="1:34" x14ac:dyDescent="0.25">
      <c r="A126" s="50"/>
      <c r="B126" s="50"/>
      <c r="J126" s="36" t="s">
        <v>119</v>
      </c>
      <c r="K126" s="36" t="s">
        <v>115</v>
      </c>
      <c r="P126" s="51"/>
      <c r="S126" s="50"/>
      <c r="AH126" s="51"/>
    </row>
    <row r="127" spans="1:34" x14ac:dyDescent="0.25">
      <c r="A127" s="50"/>
      <c r="B127" s="50"/>
      <c r="P127" s="51"/>
      <c r="S127" s="50"/>
      <c r="AH127" s="51"/>
    </row>
    <row r="128" spans="1:34" ht="16.5" thickBot="1" x14ac:dyDescent="0.3">
      <c r="A128" s="50"/>
      <c r="B128" s="50"/>
      <c r="P128" s="51"/>
      <c r="S128" s="50"/>
      <c r="T128" s="518" t="s">
        <v>262</v>
      </c>
      <c r="U128" s="518"/>
      <c r="V128" s="518"/>
      <c r="W128" s="518"/>
      <c r="AH128" s="51"/>
    </row>
    <row r="129" spans="1:34" ht="15.75" thickBot="1" x14ac:dyDescent="0.3">
      <c r="A129" s="50"/>
      <c r="B129" s="50"/>
      <c r="F129" s="484" t="s">
        <v>71</v>
      </c>
      <c r="G129" s="479"/>
      <c r="H129" s="479"/>
      <c r="I129" s="479"/>
      <c r="J129" s="503" t="s">
        <v>30</v>
      </c>
      <c r="K129" s="479" t="s">
        <v>114</v>
      </c>
      <c r="L129" s="503" t="s">
        <v>32</v>
      </c>
      <c r="M129" s="481" t="s">
        <v>35</v>
      </c>
      <c r="P129" s="51"/>
      <c r="S129" s="50"/>
      <c r="AH129" s="51"/>
    </row>
    <row r="130" spans="1:34" ht="15.75" customHeight="1" thickBot="1" x14ac:dyDescent="0.3">
      <c r="A130" s="50"/>
      <c r="B130" s="50"/>
      <c r="F130" s="485"/>
      <c r="G130" s="480"/>
      <c r="H130" s="480"/>
      <c r="I130" s="480"/>
      <c r="J130" s="504"/>
      <c r="K130" s="480"/>
      <c r="L130" s="504"/>
      <c r="M130" s="482"/>
      <c r="P130" s="51"/>
      <c r="S130" s="50"/>
      <c r="X130" s="124">
        <f t="shared" ref="X130:AA133" si="3">C95</f>
        <v>2</v>
      </c>
      <c r="Y130" s="53">
        <f t="shared" si="3"/>
        <v>4</v>
      </c>
      <c r="Z130" s="53">
        <f t="shared" si="3"/>
        <v>-2</v>
      </c>
      <c r="AA130" s="103">
        <f t="shared" si="3"/>
        <v>-2</v>
      </c>
      <c r="AB130" s="517" t="s">
        <v>32</v>
      </c>
      <c r="AC130" s="502"/>
      <c r="AD130" s="124" t="str">
        <f t="shared" ref="AD130:AG133" si="4">AD122</f>
        <v>U11</v>
      </c>
      <c r="AE130" s="53" t="str">
        <f t="shared" si="4"/>
        <v>U12</v>
      </c>
      <c r="AF130" s="53" t="str">
        <f t="shared" si="4"/>
        <v>U13</v>
      </c>
      <c r="AG130" s="103" t="str">
        <f t="shared" si="4"/>
        <v>U14</v>
      </c>
      <c r="AH130" s="51"/>
    </row>
    <row r="131" spans="1:34" ht="15" customHeight="1" thickBot="1" x14ac:dyDescent="0.3">
      <c r="A131" s="50"/>
      <c r="B131" s="50"/>
      <c r="G131" s="2"/>
      <c r="H131" s="2"/>
      <c r="I131" s="2"/>
      <c r="J131" s="2"/>
      <c r="K131" s="2"/>
      <c r="L131" s="2"/>
      <c r="M131" s="2"/>
      <c r="P131" s="51"/>
      <c r="S131" s="50"/>
      <c r="T131" s="484" t="s">
        <v>34</v>
      </c>
      <c r="U131" s="479" t="s">
        <v>32</v>
      </c>
      <c r="V131" s="481" t="s">
        <v>70</v>
      </c>
      <c r="X131" s="98">
        <f t="shared" si="3"/>
        <v>4</v>
      </c>
      <c r="Y131" s="2">
        <f t="shared" si="3"/>
        <v>2</v>
      </c>
      <c r="Z131" s="2">
        <f t="shared" si="3"/>
        <v>4</v>
      </c>
      <c r="AA131" s="99">
        <f t="shared" si="3"/>
        <v>-3</v>
      </c>
      <c r="AB131" s="517"/>
      <c r="AC131" s="502"/>
      <c r="AD131" s="98" t="str">
        <f t="shared" si="4"/>
        <v>L21U11</v>
      </c>
      <c r="AE131" s="2" t="str">
        <f t="shared" si="4"/>
        <v>L21U12+U22</v>
      </c>
      <c r="AF131" s="2" t="str">
        <f t="shared" si="4"/>
        <v>L21U13 + U23</v>
      </c>
      <c r="AG131" s="99" t="str">
        <f t="shared" si="4"/>
        <v>L21U14 + U24</v>
      </c>
      <c r="AH131" s="51"/>
    </row>
    <row r="132" spans="1:34" ht="15" customHeight="1" x14ac:dyDescent="0.25">
      <c r="A132" s="50"/>
      <c r="B132" s="50"/>
      <c r="F132" s="124">
        <f t="shared" ref="F132:I135" si="5">C118</f>
        <v>1</v>
      </c>
      <c r="G132" s="53">
        <f t="shared" si="5"/>
        <v>0</v>
      </c>
      <c r="H132" s="53">
        <f t="shared" si="5"/>
        <v>0</v>
      </c>
      <c r="I132" s="103">
        <f t="shared" si="5"/>
        <v>0</v>
      </c>
      <c r="J132" s="501" t="s">
        <v>30</v>
      </c>
      <c r="K132" s="126" t="s">
        <v>116</v>
      </c>
      <c r="L132" s="502" t="s">
        <v>32</v>
      </c>
      <c r="M132" s="126">
        <f>O118</f>
        <v>-4</v>
      </c>
      <c r="P132" s="51"/>
      <c r="S132" s="50"/>
      <c r="T132" s="519"/>
      <c r="U132" s="520"/>
      <c r="V132" s="521"/>
      <c r="W132" s="2" t="s">
        <v>103</v>
      </c>
      <c r="X132" s="98">
        <f t="shared" si="3"/>
        <v>-3</v>
      </c>
      <c r="Y132" s="2">
        <f t="shared" si="3"/>
        <v>-3</v>
      </c>
      <c r="Z132" s="2">
        <f t="shared" si="3"/>
        <v>8</v>
      </c>
      <c r="AA132" s="99">
        <f t="shared" si="3"/>
        <v>-2</v>
      </c>
      <c r="AB132" s="517"/>
      <c r="AC132" s="502"/>
      <c r="AD132" s="98" t="str">
        <f t="shared" si="4"/>
        <v>L31U11</v>
      </c>
      <c r="AE132" s="2" t="str">
        <f t="shared" si="4"/>
        <v>L31U12 + L32U22</v>
      </c>
      <c r="AF132" s="2" t="str">
        <f t="shared" si="4"/>
        <v>L31U13 + L32U23+ U33</v>
      </c>
      <c r="AG132" s="99" t="str">
        <f t="shared" si="4"/>
        <v>L31U14 + L32U24 + U34</v>
      </c>
      <c r="AH132" s="51"/>
    </row>
    <row r="133" spans="1:34" ht="15.75" customHeight="1" thickBot="1" x14ac:dyDescent="0.3">
      <c r="A133" s="50"/>
      <c r="B133" s="50"/>
      <c r="F133" s="98">
        <f t="shared" si="5"/>
        <v>2</v>
      </c>
      <c r="G133" s="2">
        <f t="shared" si="5"/>
        <v>1</v>
      </c>
      <c r="H133" s="2">
        <f t="shared" si="5"/>
        <v>0</v>
      </c>
      <c r="I133" s="99">
        <f t="shared" si="5"/>
        <v>0</v>
      </c>
      <c r="J133" s="501"/>
      <c r="K133" s="127" t="s">
        <v>117</v>
      </c>
      <c r="L133" s="502"/>
      <c r="M133" s="127">
        <f>O119</f>
        <v>5</v>
      </c>
      <c r="P133" s="51"/>
      <c r="S133" s="50"/>
      <c r="T133" s="485"/>
      <c r="U133" s="480"/>
      <c r="V133" s="482"/>
      <c r="X133" s="100">
        <f t="shared" si="3"/>
        <v>-1</v>
      </c>
      <c r="Y133" s="101">
        <f t="shared" si="3"/>
        <v>1</v>
      </c>
      <c r="Z133" s="101">
        <f t="shared" si="3"/>
        <v>6</v>
      </c>
      <c r="AA133" s="102">
        <f t="shared" si="3"/>
        <v>-3</v>
      </c>
      <c r="AB133" s="517"/>
      <c r="AC133" s="502"/>
      <c r="AD133" s="100" t="str">
        <f t="shared" si="4"/>
        <v>L41U11</v>
      </c>
      <c r="AE133" s="101" t="str">
        <f t="shared" si="4"/>
        <v>L41U12 + L42U22</v>
      </c>
      <c r="AF133" s="101" t="str">
        <f t="shared" si="4"/>
        <v>L41U13 + L42U23 + L43U33</v>
      </c>
      <c r="AG133" s="102" t="str">
        <f t="shared" si="4"/>
        <v>L41U14 + L42U24 + L43U34 + U44</v>
      </c>
      <c r="AH133" s="51"/>
    </row>
    <row r="134" spans="1:34" x14ac:dyDescent="0.25">
      <c r="A134" s="50"/>
      <c r="B134" s="50"/>
      <c r="F134" s="98">
        <f t="shared" si="5"/>
        <v>-1.5</v>
      </c>
      <c r="G134" s="2">
        <f t="shared" si="5"/>
        <v>-0.5</v>
      </c>
      <c r="H134" s="2">
        <f t="shared" si="5"/>
        <v>1</v>
      </c>
      <c r="I134" s="99">
        <f t="shared" si="5"/>
        <v>0</v>
      </c>
      <c r="J134" s="501"/>
      <c r="K134" s="127" t="s">
        <v>118</v>
      </c>
      <c r="L134" s="502"/>
      <c r="M134" s="127">
        <f>O120</f>
        <v>7</v>
      </c>
      <c r="P134" s="51"/>
      <c r="S134" s="50"/>
      <c r="AH134" s="51"/>
    </row>
    <row r="135" spans="1:34" ht="15.75" thickBot="1" x14ac:dyDescent="0.3">
      <c r="A135" s="50"/>
      <c r="B135" s="50"/>
      <c r="F135" s="100">
        <f t="shared" si="5"/>
        <v>-0.5</v>
      </c>
      <c r="G135" s="101">
        <f t="shared" si="5"/>
        <v>-0.5</v>
      </c>
      <c r="H135" s="101">
        <f t="shared" si="5"/>
        <v>1</v>
      </c>
      <c r="I135" s="102">
        <f t="shared" si="5"/>
        <v>1</v>
      </c>
      <c r="J135" s="501"/>
      <c r="K135" s="128" t="s">
        <v>359</v>
      </c>
      <c r="L135" s="502"/>
      <c r="M135" s="128">
        <f>O121</f>
        <v>7</v>
      </c>
      <c r="P135" s="51"/>
      <c r="S135" s="50"/>
      <c r="AH135" s="51"/>
    </row>
    <row r="136" spans="1:34" x14ac:dyDescent="0.25">
      <c r="A136" s="50"/>
      <c r="B136" s="50"/>
      <c r="P136" s="51"/>
      <c r="S136" s="50"/>
      <c r="AH136" s="51"/>
    </row>
    <row r="137" spans="1:34" ht="15.75" x14ac:dyDescent="0.25">
      <c r="A137" s="50"/>
      <c r="B137" s="50"/>
      <c r="P137" s="51"/>
      <c r="S137" s="50"/>
      <c r="T137" s="285" t="s">
        <v>261</v>
      </c>
      <c r="U137" s="285"/>
      <c r="V137" s="285"/>
      <c r="W137" s="285"/>
      <c r="X137" s="285"/>
      <c r="Z137" s="285"/>
      <c r="AH137" s="51"/>
    </row>
    <row r="138" spans="1:34" ht="15.75" thickBot="1" x14ac:dyDescent="0.3">
      <c r="A138" s="50"/>
      <c r="B138" s="50"/>
      <c r="P138" s="51"/>
      <c r="S138" s="50"/>
      <c r="AH138" s="51"/>
    </row>
    <row r="139" spans="1:34" ht="15.75" thickBot="1" x14ac:dyDescent="0.3">
      <c r="A139" s="50"/>
      <c r="B139" s="50"/>
      <c r="K139" s="500" t="s">
        <v>121</v>
      </c>
      <c r="L139" s="500"/>
      <c r="P139" s="51"/>
      <c r="S139" s="50"/>
      <c r="T139" s="69" t="s">
        <v>100</v>
      </c>
      <c r="U139" s="70">
        <f>X130</f>
        <v>2</v>
      </c>
      <c r="V139" s="2"/>
      <c r="W139" s="69" t="s">
        <v>338</v>
      </c>
      <c r="X139" s="70">
        <f>W125</f>
        <v>1</v>
      </c>
      <c r="AH139" s="51"/>
    </row>
    <row r="140" spans="1:34" ht="15.75" thickBot="1" x14ac:dyDescent="0.3">
      <c r="A140" s="50"/>
      <c r="B140" s="50"/>
      <c r="P140" s="51"/>
      <c r="S140" s="50"/>
      <c r="T140" s="2"/>
      <c r="U140" s="2"/>
      <c r="V140" s="2"/>
      <c r="W140" s="2"/>
      <c r="X140" s="2"/>
      <c r="AH140" s="51"/>
    </row>
    <row r="141" spans="1:34" ht="15.75" thickBot="1" x14ac:dyDescent="0.3">
      <c r="A141" s="50"/>
      <c r="B141" s="50"/>
      <c r="I141" s="69" t="s">
        <v>122</v>
      </c>
      <c r="J141" s="70">
        <f>M132/F132</f>
        <v>-4</v>
      </c>
      <c r="P141" s="51"/>
      <c r="S141" s="50"/>
      <c r="T141" s="69" t="s">
        <v>101</v>
      </c>
      <c r="U141" s="70">
        <f>Y130</f>
        <v>4</v>
      </c>
      <c r="V141" s="2"/>
      <c r="W141" s="69" t="s">
        <v>339</v>
      </c>
      <c r="X141" s="70">
        <f>(Z133-(X148*U144)-(X144*U145))/U146</f>
        <v>1</v>
      </c>
      <c r="AH141" s="51"/>
    </row>
    <row r="142" spans="1:34" ht="15.75" thickBot="1" x14ac:dyDescent="0.3">
      <c r="A142" s="50"/>
      <c r="B142" s="50"/>
      <c r="I142" s="69" t="s">
        <v>123</v>
      </c>
      <c r="J142" s="70">
        <f>(M133-(F133*J141))/G133</f>
        <v>13</v>
      </c>
      <c r="P142" s="51"/>
      <c r="S142" s="50"/>
      <c r="T142" s="69" t="s">
        <v>106</v>
      </c>
      <c r="U142" s="70">
        <f>Y131-(X150*U141)</f>
        <v>-6</v>
      </c>
      <c r="V142" s="2"/>
      <c r="W142" s="17" t="s">
        <v>111</v>
      </c>
      <c r="X142" s="19">
        <f>V124</f>
        <v>1</v>
      </c>
      <c r="AH142" s="51"/>
    </row>
    <row r="143" spans="1:34" ht="15.75" thickBot="1" x14ac:dyDescent="0.3">
      <c r="A143" s="50"/>
      <c r="B143" s="50"/>
      <c r="H143" s="2"/>
      <c r="I143" s="69" t="s">
        <v>124</v>
      </c>
      <c r="J143" s="70">
        <f>(M134-(F134*J141)-(G134*J142))/H134</f>
        <v>7.5</v>
      </c>
      <c r="P143" s="51"/>
      <c r="S143" s="50"/>
      <c r="T143" s="2"/>
      <c r="U143" s="2"/>
      <c r="V143" s="2"/>
      <c r="W143" s="2"/>
      <c r="X143" s="2"/>
      <c r="AH143" s="51"/>
    </row>
    <row r="144" spans="1:34" ht="15.75" thickBot="1" x14ac:dyDescent="0.3">
      <c r="A144" s="50"/>
      <c r="B144" s="50"/>
      <c r="H144" s="2"/>
      <c r="I144" s="69" t="s">
        <v>360</v>
      </c>
      <c r="J144" s="70">
        <f>(M135-(F135*J141)-(G135*J142)-(H135*J143))/I135</f>
        <v>4</v>
      </c>
      <c r="P144" s="51"/>
      <c r="S144" s="50"/>
      <c r="T144" s="44" t="s">
        <v>102</v>
      </c>
      <c r="U144" s="46">
        <f>Z130</f>
        <v>-2</v>
      </c>
      <c r="V144" s="2"/>
      <c r="W144" s="69" t="s">
        <v>340</v>
      </c>
      <c r="X144" s="70">
        <f>(Y133-(X148*U141))/U142</f>
        <v>-0.5</v>
      </c>
      <c r="AH144" s="51"/>
    </row>
    <row r="145" spans="1:34" ht="15.75" thickBot="1" x14ac:dyDescent="0.3">
      <c r="A145" s="50"/>
      <c r="B145" s="50"/>
      <c r="H145" s="2"/>
      <c r="P145" s="51"/>
      <c r="S145" s="50"/>
      <c r="T145" s="44" t="s">
        <v>104</v>
      </c>
      <c r="U145" s="46">
        <f>Z131-(X150*U144)</f>
        <v>8</v>
      </c>
      <c r="V145" s="2"/>
      <c r="W145" s="69" t="s">
        <v>112</v>
      </c>
      <c r="X145" s="70">
        <f>(Y132-(X149*U141))/U142</f>
        <v>-0.5</v>
      </c>
      <c r="AH145" s="51"/>
    </row>
    <row r="146" spans="1:34" ht="15.75" thickBot="1" x14ac:dyDescent="0.3">
      <c r="A146" s="50"/>
      <c r="B146" s="52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40"/>
      <c r="S146" s="50"/>
      <c r="T146" s="44" t="s">
        <v>107</v>
      </c>
      <c r="U146" s="46">
        <f>Z132-(X145*U145)-(X149*U144)</f>
        <v>9</v>
      </c>
      <c r="V146" s="2"/>
      <c r="W146" s="17" t="s">
        <v>341</v>
      </c>
      <c r="X146" s="19">
        <f>U123</f>
        <v>1</v>
      </c>
      <c r="AH146" s="51"/>
    </row>
    <row r="147" spans="1:34" ht="15.75" thickBot="1" x14ac:dyDescent="0.3">
      <c r="A147" s="50"/>
      <c r="S147" s="50"/>
      <c r="T147" s="2"/>
      <c r="U147" s="2"/>
      <c r="V147" s="2"/>
      <c r="W147" s="2"/>
      <c r="X147" s="2"/>
      <c r="AH147" s="51"/>
    </row>
    <row r="148" spans="1:34" ht="15.75" thickBot="1" x14ac:dyDescent="0.3">
      <c r="A148" s="50"/>
      <c r="S148" s="50"/>
      <c r="T148" s="69" t="s">
        <v>334</v>
      </c>
      <c r="U148" s="70">
        <f>AA130</f>
        <v>-2</v>
      </c>
      <c r="V148" s="2"/>
      <c r="W148" s="69" t="s">
        <v>342</v>
      </c>
      <c r="X148" s="70">
        <f>X133/U139</f>
        <v>-0.5</v>
      </c>
      <c r="AH148" s="51"/>
    </row>
    <row r="149" spans="1:34" ht="15.75" thickBot="1" x14ac:dyDescent="0.3">
      <c r="A149" s="50"/>
      <c r="S149" s="50"/>
      <c r="T149" s="69" t="s">
        <v>335</v>
      </c>
      <c r="U149" s="70">
        <f>(AA131-(X150*U148))</f>
        <v>1</v>
      </c>
      <c r="V149" s="2"/>
      <c r="W149" s="69" t="s">
        <v>109</v>
      </c>
      <c r="X149" s="70">
        <f>X132/U139</f>
        <v>-1.5</v>
      </c>
      <c r="AH149" s="51"/>
    </row>
    <row r="150" spans="1:34" ht="15.75" thickBot="1" x14ac:dyDescent="0.3">
      <c r="A150" s="50"/>
      <c r="S150" s="50"/>
      <c r="T150" s="69" t="s">
        <v>336</v>
      </c>
      <c r="U150" s="70">
        <f>AA132-(X149*U148)-(X145*U149)</f>
        <v>-4.5</v>
      </c>
      <c r="V150" s="2"/>
      <c r="W150" s="69" t="s">
        <v>343</v>
      </c>
      <c r="X150" s="70">
        <f>X131/U139</f>
        <v>2</v>
      </c>
      <c r="AH150" s="51"/>
    </row>
    <row r="151" spans="1:34" ht="15.75" thickBot="1" x14ac:dyDescent="0.3">
      <c r="A151" s="50"/>
      <c r="S151" s="50"/>
      <c r="T151" s="69" t="s">
        <v>337</v>
      </c>
      <c r="U151" s="70">
        <f>AA133-(X148*U148)-(X144*U149)-(X141*U150)</f>
        <v>1</v>
      </c>
      <c r="V151" s="2"/>
      <c r="W151" s="17" t="s">
        <v>94</v>
      </c>
      <c r="X151" s="19">
        <f>T122</f>
        <v>1</v>
      </c>
      <c r="AH151" s="51"/>
    </row>
    <row r="152" spans="1:34" ht="15.75" thickBot="1" x14ac:dyDescent="0.3">
      <c r="A152" s="50"/>
      <c r="S152" s="50"/>
      <c r="AH152" s="51"/>
    </row>
    <row r="153" spans="1:34" x14ac:dyDescent="0.25">
      <c r="A153" s="50"/>
      <c r="C153" s="47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9"/>
      <c r="S153" s="50"/>
      <c r="AH153" s="51"/>
    </row>
    <row r="154" spans="1:34" ht="15.75" thickBot="1" x14ac:dyDescent="0.3">
      <c r="A154" s="50"/>
      <c r="C154" s="50"/>
      <c r="N154" s="51"/>
      <c r="S154" s="52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40"/>
    </row>
    <row r="155" spans="1:34" x14ac:dyDescent="0.25">
      <c r="A155" s="50"/>
      <c r="C155" s="50"/>
      <c r="D155" s="484" t="s">
        <v>72</v>
      </c>
      <c r="E155" s="479"/>
      <c r="F155" s="479"/>
      <c r="G155" s="479"/>
      <c r="H155" s="503" t="s">
        <v>36</v>
      </c>
      <c r="I155" s="479" t="s">
        <v>30</v>
      </c>
      <c r="J155" s="503" t="s">
        <v>32</v>
      </c>
      <c r="K155" s="481" t="s">
        <v>114</v>
      </c>
      <c r="N155" s="51"/>
      <c r="AH155" s="51"/>
    </row>
    <row r="156" spans="1:34" ht="15.75" thickBot="1" x14ac:dyDescent="0.3">
      <c r="A156" s="50"/>
      <c r="C156" s="50"/>
      <c r="D156" s="485"/>
      <c r="E156" s="480"/>
      <c r="F156" s="480"/>
      <c r="G156" s="480"/>
      <c r="H156" s="504"/>
      <c r="I156" s="480"/>
      <c r="J156" s="504"/>
      <c r="K156" s="482"/>
      <c r="N156" s="51"/>
      <c r="AH156" s="51"/>
    </row>
    <row r="157" spans="1:34" ht="15.75" x14ac:dyDescent="0.25">
      <c r="A157" s="50"/>
      <c r="C157" s="50"/>
      <c r="D157" s="310">
        <f t="shared" ref="D157:G160" si="6">H118</f>
        <v>2</v>
      </c>
      <c r="E157" s="311">
        <f t="shared" si="6"/>
        <v>4</v>
      </c>
      <c r="F157" s="311">
        <f t="shared" si="6"/>
        <v>-2</v>
      </c>
      <c r="G157" s="312">
        <f t="shared" si="6"/>
        <v>-2</v>
      </c>
      <c r="H157" s="501" t="s">
        <v>30</v>
      </c>
      <c r="I157" s="318" t="str">
        <f>M118</f>
        <v>a</v>
      </c>
      <c r="J157" s="502" t="s">
        <v>32</v>
      </c>
      <c r="K157" s="318">
        <f>J141</f>
        <v>-4</v>
      </c>
      <c r="N157" s="51"/>
      <c r="AH157" s="51"/>
    </row>
    <row r="158" spans="1:34" ht="15.75" x14ac:dyDescent="0.25">
      <c r="A158" s="50"/>
      <c r="C158" s="50"/>
      <c r="D158" s="313">
        <f t="shared" si="6"/>
        <v>0</v>
      </c>
      <c r="E158" s="306">
        <f t="shared" si="6"/>
        <v>-6</v>
      </c>
      <c r="F158" s="306">
        <f t="shared" si="6"/>
        <v>8</v>
      </c>
      <c r="G158" s="314">
        <f t="shared" si="6"/>
        <v>1</v>
      </c>
      <c r="H158" s="501"/>
      <c r="I158" s="319" t="str">
        <f>M119</f>
        <v>b</v>
      </c>
      <c r="J158" s="502"/>
      <c r="K158" s="319">
        <f>J142</f>
        <v>13</v>
      </c>
      <c r="N158" s="51"/>
      <c r="AH158" s="51"/>
    </row>
    <row r="159" spans="1:34" ht="15.75" x14ac:dyDescent="0.25">
      <c r="A159" s="50"/>
      <c r="C159" s="50"/>
      <c r="D159" s="313">
        <f t="shared" si="6"/>
        <v>0</v>
      </c>
      <c r="E159" s="306">
        <f t="shared" si="6"/>
        <v>0</v>
      </c>
      <c r="F159" s="306">
        <f t="shared" si="6"/>
        <v>9</v>
      </c>
      <c r="G159" s="314">
        <f t="shared" si="6"/>
        <v>-4.5</v>
      </c>
      <c r="H159" s="501"/>
      <c r="I159" s="319" t="str">
        <f>M120</f>
        <v>c</v>
      </c>
      <c r="J159" s="502"/>
      <c r="K159" s="319">
        <f>J143</f>
        <v>7.5</v>
      </c>
      <c r="N159" s="51"/>
      <c r="AH159" s="51"/>
    </row>
    <row r="160" spans="1:34" ht="16.5" thickBot="1" x14ac:dyDescent="0.3">
      <c r="A160" s="50"/>
      <c r="C160" s="50"/>
      <c r="D160" s="315">
        <f t="shared" si="6"/>
        <v>0</v>
      </c>
      <c r="E160" s="316">
        <f t="shared" si="6"/>
        <v>0</v>
      </c>
      <c r="F160" s="316">
        <f t="shared" si="6"/>
        <v>0</v>
      </c>
      <c r="G160" s="317">
        <f t="shared" si="6"/>
        <v>1</v>
      </c>
      <c r="H160" s="501"/>
      <c r="I160" s="320" t="str">
        <f>M121</f>
        <v>d</v>
      </c>
      <c r="J160" s="502"/>
      <c r="K160" s="320">
        <f>J144</f>
        <v>4</v>
      </c>
      <c r="N160" s="51"/>
      <c r="AH160" s="51"/>
    </row>
    <row r="161" spans="1:34" x14ac:dyDescent="0.25">
      <c r="A161" s="50"/>
      <c r="C161" s="50"/>
      <c r="N161" s="51"/>
      <c r="AH161" s="51"/>
    </row>
    <row r="162" spans="1:34" ht="15.75" thickBot="1" x14ac:dyDescent="0.3">
      <c r="A162" s="50"/>
      <c r="C162" s="50"/>
      <c r="J162" s="117"/>
      <c r="K162" s="117"/>
      <c r="N162" s="51"/>
      <c r="AH162" s="51"/>
    </row>
    <row r="163" spans="1:34" x14ac:dyDescent="0.25">
      <c r="A163" s="50"/>
      <c r="C163" s="50"/>
      <c r="E163" s="282" t="str">
        <f>I160</f>
        <v>d</v>
      </c>
      <c r="F163" s="280" t="s">
        <v>32</v>
      </c>
      <c r="G163" s="254">
        <f>K160/G160</f>
        <v>4</v>
      </c>
      <c r="H163" s="119" t="s">
        <v>55</v>
      </c>
      <c r="I163" s="117" t="s">
        <v>351</v>
      </c>
      <c r="J163" s="117"/>
      <c r="K163" s="117"/>
      <c r="N163" s="51"/>
      <c r="AH163" s="51"/>
    </row>
    <row r="164" spans="1:34" x14ac:dyDescent="0.25">
      <c r="A164" s="50"/>
      <c r="C164" s="50"/>
      <c r="E164" s="286" t="str">
        <f>I159</f>
        <v>c</v>
      </c>
      <c r="F164" s="287" t="s">
        <v>32</v>
      </c>
      <c r="G164" s="288">
        <f>(K159-(G159*G163))/F159</f>
        <v>2.8333333333333335</v>
      </c>
      <c r="H164" s="119" t="str">
        <f>H163</f>
        <v>&lt;&lt;&lt;&lt;&lt;&lt;</v>
      </c>
      <c r="I164" s="117" t="s">
        <v>352</v>
      </c>
      <c r="J164" s="117"/>
      <c r="K164" s="117"/>
      <c r="N164" s="51"/>
      <c r="AH164" s="51"/>
    </row>
    <row r="165" spans="1:34" x14ac:dyDescent="0.25">
      <c r="A165" s="50"/>
      <c r="C165" s="50"/>
      <c r="E165" s="286" t="str">
        <f>I158</f>
        <v>b</v>
      </c>
      <c r="F165" s="287" t="s">
        <v>32</v>
      </c>
      <c r="G165" s="288">
        <f>(K158-(F158*G164)-(G158*G163))/E158</f>
        <v>2.2777777777777781</v>
      </c>
      <c r="H165" s="119" t="str">
        <f>H164</f>
        <v>&lt;&lt;&lt;&lt;&lt;&lt;</v>
      </c>
      <c r="I165" s="117" t="s">
        <v>366</v>
      </c>
      <c r="N165" s="51"/>
      <c r="AH165" s="51"/>
    </row>
    <row r="166" spans="1:34" ht="15.75" thickBot="1" x14ac:dyDescent="0.3">
      <c r="A166" s="50"/>
      <c r="C166" s="50"/>
      <c r="E166" s="283" t="str">
        <f>I157</f>
        <v>a</v>
      </c>
      <c r="F166" s="281" t="s">
        <v>32</v>
      </c>
      <c r="G166" s="255">
        <f>(K157-(E157*G165)-(F157*G164)-(G157*G163))/D157</f>
        <v>0.27777777777777724</v>
      </c>
      <c r="H166" s="119" t="str">
        <f>H165</f>
        <v>&lt;&lt;&lt;&lt;&lt;&lt;</v>
      </c>
      <c r="I166" s="117" t="s">
        <v>367</v>
      </c>
      <c r="N166" s="51"/>
      <c r="AH166" s="51"/>
    </row>
    <row r="167" spans="1:34" ht="15.75" thickBot="1" x14ac:dyDescent="0.3">
      <c r="A167" s="50"/>
      <c r="C167" s="52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40"/>
      <c r="AH167" s="51"/>
    </row>
    <row r="168" spans="1:34" ht="15.75" thickBot="1" x14ac:dyDescent="0.3">
      <c r="A168" s="52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40"/>
    </row>
  </sheetData>
  <mergeCells count="103">
    <mergeCell ref="Y120:AB121"/>
    <mergeCell ref="Y94:AB95"/>
    <mergeCell ref="AC94:AC95"/>
    <mergeCell ref="S107:AH108"/>
    <mergeCell ref="AC120:AC121"/>
    <mergeCell ref="AD120:AG121"/>
    <mergeCell ref="V110:AC110"/>
    <mergeCell ref="V111:AC111"/>
    <mergeCell ref="AC122:AC125"/>
    <mergeCell ref="AB130:AC133"/>
    <mergeCell ref="T128:W128"/>
    <mergeCell ref="T131:T133"/>
    <mergeCell ref="U131:U133"/>
    <mergeCell ref="V131:V133"/>
    <mergeCell ref="T120:W121"/>
    <mergeCell ref="C116:F117"/>
    <mergeCell ref="G116:G117"/>
    <mergeCell ref="H116:K117"/>
    <mergeCell ref="F129:I130"/>
    <mergeCell ref="J129:J130"/>
    <mergeCell ref="K129:K130"/>
    <mergeCell ref="L129:L130"/>
    <mergeCell ref="M129:M130"/>
    <mergeCell ref="G118:G121"/>
    <mergeCell ref="L118:L121"/>
    <mergeCell ref="N118:N121"/>
    <mergeCell ref="X122:X125"/>
    <mergeCell ref="M116:M117"/>
    <mergeCell ref="L116:L117"/>
    <mergeCell ref="N116:N117"/>
    <mergeCell ref="O116:O117"/>
    <mergeCell ref="X120:X121"/>
    <mergeCell ref="Q5:Q8"/>
    <mergeCell ref="T5:Z5"/>
    <mergeCell ref="T7:Z8"/>
    <mergeCell ref="F75:F77"/>
    <mergeCell ref="H75:H77"/>
    <mergeCell ref="H60:I60"/>
    <mergeCell ref="G54:G56"/>
    <mergeCell ref="I54:I56"/>
    <mergeCell ref="R51:W51"/>
    <mergeCell ref="X46:X48"/>
    <mergeCell ref="R34:Y34"/>
    <mergeCell ref="G22:G24"/>
    <mergeCell ref="R33:Y33"/>
    <mergeCell ref="K139:L139"/>
    <mergeCell ref="H157:H160"/>
    <mergeCell ref="J157:J160"/>
    <mergeCell ref="J132:J135"/>
    <mergeCell ref="L132:L135"/>
    <mergeCell ref="D155:G156"/>
    <mergeCell ref="H155:H156"/>
    <mergeCell ref="I155:I156"/>
    <mergeCell ref="J155:J156"/>
    <mergeCell ref="K155:K156"/>
    <mergeCell ref="A88:AH89"/>
    <mergeCell ref="C92:F93"/>
    <mergeCell ref="G92:G93"/>
    <mergeCell ref="H92:H93"/>
    <mergeCell ref="I92:I93"/>
    <mergeCell ref="J92:J93"/>
    <mergeCell ref="G106:G109"/>
    <mergeCell ref="L106:L109"/>
    <mergeCell ref="L104:L105"/>
    <mergeCell ref="M104:M105"/>
    <mergeCell ref="N104:N105"/>
    <mergeCell ref="O104:O105"/>
    <mergeCell ref="G95:G98"/>
    <mergeCell ref="I95:I98"/>
    <mergeCell ref="C104:F105"/>
    <mergeCell ref="G104:G105"/>
    <mergeCell ref="H104:K105"/>
    <mergeCell ref="AD94:AG95"/>
    <mergeCell ref="X97:X100"/>
    <mergeCell ref="AC97:AC100"/>
    <mergeCell ref="S91:AH92"/>
    <mergeCell ref="N106:N109"/>
    <mergeCell ref="T94:W95"/>
    <mergeCell ref="X94:X95"/>
    <mergeCell ref="A1:AB2"/>
    <mergeCell ref="Q17:AA17"/>
    <mergeCell ref="D18:E18"/>
    <mergeCell ref="G5:G7"/>
    <mergeCell ref="B4:H4"/>
    <mergeCell ref="E5:E7"/>
    <mergeCell ref="E42:E44"/>
    <mergeCell ref="I42:I44"/>
    <mergeCell ref="Q31:AA31"/>
    <mergeCell ref="C31:E31"/>
    <mergeCell ref="G31:H31"/>
    <mergeCell ref="E33:E35"/>
    <mergeCell ref="I33:I35"/>
    <mergeCell ref="K33:K35"/>
    <mergeCell ref="T40:T42"/>
    <mergeCell ref="X40:X42"/>
    <mergeCell ref="A15:AB15"/>
    <mergeCell ref="K42:K44"/>
    <mergeCell ref="T21:T23"/>
    <mergeCell ref="X21:X23"/>
    <mergeCell ref="R44:U44"/>
    <mergeCell ref="E22:E24"/>
    <mergeCell ref="K4:R4"/>
    <mergeCell ref="O5:O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CFD2-7BC2-42CC-AA68-3FB6074FB703}">
  <sheetPr codeName="Sheet6"/>
  <dimension ref="A1:AI164"/>
  <sheetViews>
    <sheetView zoomScaleNormal="100" workbookViewId="0">
      <selection activeCell="V11" sqref="V11"/>
    </sheetView>
  </sheetViews>
  <sheetFormatPr defaultRowHeight="15" x14ac:dyDescent="0.25"/>
  <cols>
    <col min="25" max="25" width="12.42578125" customWidth="1"/>
    <col min="26" max="26" width="15.42578125" customWidth="1"/>
    <col min="27" max="27" width="23.7109375" customWidth="1"/>
    <col min="29" max="29" width="13" customWidth="1"/>
    <col min="30" max="30" width="10.85546875" customWidth="1"/>
    <col min="31" max="31" width="25.140625" customWidth="1"/>
    <col min="32" max="32" width="27.5703125" customWidth="1"/>
    <col min="33" max="33" width="32.7109375" customWidth="1"/>
  </cols>
  <sheetData>
    <row r="1" spans="1:29" ht="26.25" customHeight="1" x14ac:dyDescent="0.25">
      <c r="A1" s="352" t="s">
        <v>132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4"/>
    </row>
    <row r="2" spans="1:29" ht="15.75" thickBot="1" x14ac:dyDescent="0.3">
      <c r="A2" s="529"/>
      <c r="B2" s="530"/>
      <c r="C2" s="530"/>
      <c r="D2" s="530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0"/>
      <c r="R2" s="530"/>
      <c r="S2" s="530"/>
      <c r="T2" s="530"/>
      <c r="U2" s="530"/>
      <c r="V2" s="530"/>
      <c r="W2" s="530"/>
      <c r="X2" s="530"/>
      <c r="Y2" s="530"/>
      <c r="Z2" s="530"/>
      <c r="AA2" s="530"/>
      <c r="AB2" s="530"/>
      <c r="AC2" s="531"/>
    </row>
    <row r="3" spans="1:29" ht="15.75" thickBot="1" x14ac:dyDescent="0.3">
      <c r="A3" s="47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9"/>
    </row>
    <row r="4" spans="1:29" ht="16.5" thickBot="1" x14ac:dyDescent="0.3">
      <c r="A4" s="50"/>
      <c r="B4" s="452" t="s">
        <v>307</v>
      </c>
      <c r="C4" s="453"/>
      <c r="D4" s="453"/>
      <c r="E4" s="453"/>
      <c r="F4" s="453"/>
      <c r="G4" s="453"/>
      <c r="H4" s="454"/>
      <c r="K4" s="452" t="s">
        <v>362</v>
      </c>
      <c r="L4" s="453"/>
      <c r="M4" s="453"/>
      <c r="N4" s="453"/>
      <c r="O4" s="453"/>
      <c r="P4" s="453"/>
      <c r="Q4" s="453"/>
      <c r="R4" s="454"/>
      <c r="U4" s="505" t="s">
        <v>289</v>
      </c>
      <c r="V4" s="506"/>
      <c r="W4" s="506"/>
      <c r="X4" s="506"/>
      <c r="Y4" s="506"/>
      <c r="Z4" s="506"/>
      <c r="AA4" s="507"/>
      <c r="AC4" s="51"/>
    </row>
    <row r="5" spans="1:29" ht="16.5" customHeight="1" x14ac:dyDescent="0.25">
      <c r="A5" s="50"/>
      <c r="B5" s="86">
        <v>0</v>
      </c>
      <c r="C5" s="87">
        <v>-1</v>
      </c>
      <c r="D5" s="88">
        <v>2</v>
      </c>
      <c r="E5" s="455" t="s">
        <v>30</v>
      </c>
      <c r="F5" s="95" t="s">
        <v>127</v>
      </c>
      <c r="G5" s="496" t="s">
        <v>32</v>
      </c>
      <c r="H5" s="95">
        <v>15</v>
      </c>
      <c r="K5" s="291">
        <v>2</v>
      </c>
      <c r="L5" s="292">
        <v>4</v>
      </c>
      <c r="M5" s="292">
        <v>-2</v>
      </c>
      <c r="N5" s="293">
        <v>-2</v>
      </c>
      <c r="O5" s="455" t="s">
        <v>30</v>
      </c>
      <c r="P5" s="294" t="s">
        <v>127</v>
      </c>
      <c r="Q5" s="442" t="s">
        <v>32</v>
      </c>
      <c r="R5" s="294">
        <v>-4</v>
      </c>
      <c r="U5" s="303" t="s">
        <v>268</v>
      </c>
      <c r="V5" s="304"/>
      <c r="W5" s="304"/>
      <c r="X5" s="304"/>
      <c r="Y5" s="304"/>
      <c r="Z5" s="304"/>
      <c r="AA5" s="305"/>
      <c r="AC5" s="51"/>
    </row>
    <row r="6" spans="1:29" ht="15.75" customHeight="1" x14ac:dyDescent="0.25">
      <c r="A6" s="50"/>
      <c r="B6" s="89">
        <v>1</v>
      </c>
      <c r="C6" s="90">
        <v>2</v>
      </c>
      <c r="D6" s="91">
        <v>3</v>
      </c>
      <c r="E6" s="456"/>
      <c r="F6" s="96" t="s">
        <v>128</v>
      </c>
      <c r="G6" s="483"/>
      <c r="H6" s="96">
        <v>5</v>
      </c>
      <c r="K6" s="295">
        <v>4</v>
      </c>
      <c r="L6" s="296">
        <v>2</v>
      </c>
      <c r="M6" s="296">
        <v>4</v>
      </c>
      <c r="N6" s="297">
        <v>-3</v>
      </c>
      <c r="O6" s="456"/>
      <c r="P6" s="298" t="s">
        <v>128</v>
      </c>
      <c r="Q6" s="443"/>
      <c r="R6" s="298">
        <v>5</v>
      </c>
      <c r="U6" s="508" t="s">
        <v>363</v>
      </c>
      <c r="V6" s="509"/>
      <c r="W6" s="509"/>
      <c r="X6" s="509"/>
      <c r="Y6" s="509"/>
      <c r="Z6" s="509"/>
      <c r="AA6" s="510"/>
      <c r="AC6" s="51"/>
    </row>
    <row r="7" spans="1:29" ht="15.75" customHeight="1" thickBot="1" x14ac:dyDescent="0.3">
      <c r="A7" s="50"/>
      <c r="B7" s="92">
        <v>0</v>
      </c>
      <c r="C7" s="93">
        <v>-7</v>
      </c>
      <c r="D7" s="94">
        <v>9</v>
      </c>
      <c r="E7" s="457"/>
      <c r="F7" s="97" t="s">
        <v>129</v>
      </c>
      <c r="G7" s="497"/>
      <c r="H7" s="97">
        <v>8</v>
      </c>
      <c r="K7" s="295">
        <v>-3</v>
      </c>
      <c r="L7" s="296">
        <v>-3</v>
      </c>
      <c r="M7" s="296">
        <v>8</v>
      </c>
      <c r="N7" s="297">
        <v>-2</v>
      </c>
      <c r="O7" s="456"/>
      <c r="P7" s="298" t="s">
        <v>129</v>
      </c>
      <c r="Q7" s="443"/>
      <c r="R7" s="298">
        <v>7</v>
      </c>
      <c r="U7" s="511"/>
      <c r="V7" s="512"/>
      <c r="W7" s="512"/>
      <c r="X7" s="512"/>
      <c r="Y7" s="512"/>
      <c r="Z7" s="512"/>
      <c r="AA7" s="513"/>
      <c r="AC7" s="51"/>
    </row>
    <row r="8" spans="1:29" ht="15.75" thickBot="1" x14ac:dyDescent="0.3">
      <c r="A8" s="50"/>
      <c r="B8" s="2"/>
      <c r="C8" s="2"/>
      <c r="D8" s="2"/>
      <c r="E8" s="2"/>
      <c r="F8" s="2"/>
      <c r="G8" s="2"/>
      <c r="H8" s="2"/>
      <c r="I8" s="2"/>
      <c r="J8" s="2"/>
      <c r="K8" s="299">
        <v>-1</v>
      </c>
      <c r="L8" s="300">
        <v>1</v>
      </c>
      <c r="M8" s="300">
        <v>6</v>
      </c>
      <c r="N8" s="301">
        <v>-3</v>
      </c>
      <c r="O8" s="457"/>
      <c r="P8" s="302" t="s">
        <v>235</v>
      </c>
      <c r="Q8" s="444"/>
      <c r="R8" s="302">
        <v>7</v>
      </c>
      <c r="AC8" s="51"/>
    </row>
    <row r="9" spans="1:29" ht="15.75" customHeight="1" thickBot="1" x14ac:dyDescent="0.3">
      <c r="A9" s="50"/>
      <c r="B9" s="2"/>
      <c r="C9" s="2"/>
      <c r="D9" s="14" t="str">
        <f>F5</f>
        <v>a</v>
      </c>
      <c r="E9" s="15" t="s">
        <v>32</v>
      </c>
      <c r="F9" s="16">
        <f>F80</f>
        <v>-100.79999999999998</v>
      </c>
      <c r="AC9" s="51"/>
    </row>
    <row r="10" spans="1:29" x14ac:dyDescent="0.25">
      <c r="A10" s="50"/>
      <c r="B10" s="119" t="s">
        <v>126</v>
      </c>
      <c r="C10" s="119" t="s">
        <v>125</v>
      </c>
      <c r="D10" s="27" t="str">
        <f>F6</f>
        <v>b</v>
      </c>
      <c r="E10" s="26" t="s">
        <v>32</v>
      </c>
      <c r="F10" s="28">
        <f>F79</f>
        <v>23.799999999999997</v>
      </c>
      <c r="M10" s="14" t="str">
        <f>P5</f>
        <v>a</v>
      </c>
      <c r="N10" s="15" t="s">
        <v>32</v>
      </c>
      <c r="O10" s="16">
        <f>G162</f>
        <v>0.27777777777777812</v>
      </c>
      <c r="AC10" s="51"/>
    </row>
    <row r="11" spans="1:29" ht="15.75" customHeight="1" thickBot="1" x14ac:dyDescent="0.3">
      <c r="A11" s="50"/>
      <c r="B11" s="2"/>
      <c r="C11" s="2"/>
      <c r="D11" s="17" t="str">
        <f>F7</f>
        <v>c</v>
      </c>
      <c r="E11" s="18" t="s">
        <v>32</v>
      </c>
      <c r="F11" s="19">
        <f>F78</f>
        <v>19.399999999999999</v>
      </c>
      <c r="K11" s="119" t="s">
        <v>126</v>
      </c>
      <c r="L11" s="119" t="s">
        <v>125</v>
      </c>
      <c r="M11" s="27" t="str">
        <f>P6</f>
        <v>b</v>
      </c>
      <c r="N11" s="26" t="s">
        <v>32</v>
      </c>
      <c r="O11" s="28">
        <f>G161</f>
        <v>2.2777777777777777</v>
      </c>
      <c r="AC11" s="51"/>
    </row>
    <row r="12" spans="1:29" ht="15.75" customHeight="1" x14ac:dyDescent="0.25">
      <c r="A12" s="50"/>
      <c r="B12" s="2"/>
      <c r="C12" s="2"/>
      <c r="D12" s="257"/>
      <c r="E12" s="257"/>
      <c r="F12" s="257"/>
      <c r="M12" s="27" t="str">
        <f>P7</f>
        <v>c</v>
      </c>
      <c r="N12" s="26" t="s">
        <v>32</v>
      </c>
      <c r="O12" s="28">
        <f>G160</f>
        <v>2.8333333333333335</v>
      </c>
      <c r="AC12" s="51"/>
    </row>
    <row r="13" spans="1:29" ht="15.75" customHeight="1" thickBot="1" x14ac:dyDescent="0.3">
      <c r="A13" s="50"/>
      <c r="B13" s="2"/>
      <c r="C13" s="2"/>
      <c r="D13" s="257"/>
      <c r="E13" s="257"/>
      <c r="F13" s="257"/>
      <c r="M13" s="17" t="str">
        <f>P8</f>
        <v>d</v>
      </c>
      <c r="N13" s="18" t="s">
        <v>32</v>
      </c>
      <c r="O13" s="19">
        <f>G159</f>
        <v>4</v>
      </c>
      <c r="AC13" s="51"/>
    </row>
    <row r="14" spans="1:29" ht="15.75" thickBot="1" x14ac:dyDescent="0.3">
      <c r="A14" s="52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40"/>
    </row>
    <row r="15" spans="1:29" ht="22.5" thickBot="1" x14ac:dyDescent="0.4">
      <c r="A15" s="533" t="s">
        <v>178</v>
      </c>
      <c r="B15" s="534"/>
      <c r="C15" s="534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534"/>
      <c r="AC15" s="535"/>
    </row>
    <row r="16" spans="1:29" ht="15.75" thickBot="1" x14ac:dyDescent="0.3">
      <c r="A16" s="47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9"/>
    </row>
    <row r="17" spans="1:35" ht="15.75" thickBot="1" x14ac:dyDescent="0.3">
      <c r="A17" s="50"/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9"/>
      <c r="AC17" s="51"/>
    </row>
    <row r="18" spans="1:35" ht="21" thickBot="1" x14ac:dyDescent="0.35">
      <c r="A18" s="50"/>
      <c r="B18" s="528" t="s">
        <v>34</v>
      </c>
      <c r="C18" s="451"/>
      <c r="D18" s="451"/>
      <c r="E18" s="112" t="s">
        <v>36</v>
      </c>
      <c r="F18" s="112" t="s">
        <v>30</v>
      </c>
      <c r="G18" s="112" t="s">
        <v>32</v>
      </c>
      <c r="H18" s="113" t="s">
        <v>35</v>
      </c>
      <c r="J18" s="2"/>
      <c r="K18" s="2"/>
      <c r="L18" s="2"/>
      <c r="M18" s="99"/>
      <c r="P18" s="448" t="s">
        <v>113</v>
      </c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50"/>
      <c r="AC18" s="51"/>
    </row>
    <row r="19" spans="1:35" ht="20.25" thickBot="1" x14ac:dyDescent="0.35">
      <c r="A19" s="50"/>
      <c r="B19" s="50"/>
      <c r="J19" s="2"/>
      <c r="K19" s="2"/>
      <c r="L19" s="2"/>
      <c r="M19" s="99"/>
      <c r="P19" s="47"/>
      <c r="Q19" s="250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9"/>
      <c r="AC19" s="51"/>
    </row>
    <row r="20" spans="1:35" ht="15.75" thickBot="1" x14ac:dyDescent="0.3">
      <c r="A20" s="50"/>
      <c r="B20" s="120" t="s">
        <v>258</v>
      </c>
      <c r="G20" s="2" t="s">
        <v>125</v>
      </c>
      <c r="H20" s="118" t="s">
        <v>309</v>
      </c>
      <c r="M20" s="51"/>
      <c r="N20" s="2"/>
      <c r="P20" s="50"/>
      <c r="Q20" s="528" t="s">
        <v>71</v>
      </c>
      <c r="R20" s="451"/>
      <c r="S20" s="451"/>
      <c r="T20" s="112" t="s">
        <v>36</v>
      </c>
      <c r="U20" s="451" t="s">
        <v>72</v>
      </c>
      <c r="V20" s="451"/>
      <c r="W20" s="451"/>
      <c r="X20" s="112" t="s">
        <v>32</v>
      </c>
      <c r="Y20" s="451" t="s">
        <v>70</v>
      </c>
      <c r="Z20" s="451"/>
      <c r="AA20" s="532"/>
      <c r="AB20" s="51"/>
      <c r="AC20" s="51"/>
    </row>
    <row r="21" spans="1:35" x14ac:dyDescent="0.25">
      <c r="A21" s="50"/>
      <c r="B21" s="124">
        <f>IF($B5=0,IF($B6=0,IF($B7=0,FALSE,B7),B6),B5)</f>
        <v>1</v>
      </c>
      <c r="C21" s="53">
        <f>IF($B5=0,IF($B6=0,IF($B7=0,FALSE,C7),C6),C5)</f>
        <v>2</v>
      </c>
      <c r="D21" s="103">
        <f>IF($B5=0,IF($B6=0,IF($B7=0,FALSE,D7),D6),D5)</f>
        <v>3</v>
      </c>
      <c r="E21" s="422" t="s">
        <v>30</v>
      </c>
      <c r="F21" s="126" t="str">
        <f>F5</f>
        <v>a</v>
      </c>
      <c r="G21" s="422" t="s">
        <v>32</v>
      </c>
      <c r="H21" s="126">
        <f>IF($B5=0,IF($B6=0,IF($B7=0,FALSE,H7),H6),H5)</f>
        <v>5</v>
      </c>
      <c r="M21" s="51"/>
      <c r="P21" s="50"/>
      <c r="Q21" s="98" t="s">
        <v>73</v>
      </c>
      <c r="R21" s="2">
        <v>0</v>
      </c>
      <c r="S21" s="99">
        <v>0</v>
      </c>
      <c r="T21" s="458" t="s">
        <v>30</v>
      </c>
      <c r="U21" s="98" t="s">
        <v>79</v>
      </c>
      <c r="V21" s="2" t="s">
        <v>80</v>
      </c>
      <c r="W21" s="99" t="s">
        <v>81</v>
      </c>
      <c r="X21" s="458" t="s">
        <v>32</v>
      </c>
      <c r="Y21" s="98" t="s">
        <v>85</v>
      </c>
      <c r="Z21" s="2" t="s">
        <v>88</v>
      </c>
      <c r="AA21" s="99" t="s">
        <v>89</v>
      </c>
      <c r="AB21" s="51"/>
      <c r="AC21" s="51"/>
    </row>
    <row r="22" spans="1:35" x14ac:dyDescent="0.25">
      <c r="A22" s="50"/>
      <c r="B22" s="98">
        <f>IF($B5=0,IF($B6=0,IF($B7=0,FALSE,B6),B5),B6)</f>
        <v>0</v>
      </c>
      <c r="C22" s="2">
        <f>IF($B5=0,IF($B6=0,IF($B7=0,FALSE,C6),C5),C6)</f>
        <v>-1</v>
      </c>
      <c r="D22" s="99">
        <f>IF($B5=0,IF($B6=0,IF($B7=0,FALSE,D6),D5),D6)</f>
        <v>2</v>
      </c>
      <c r="E22" s="422"/>
      <c r="F22" s="127" t="str">
        <f>F6</f>
        <v>b</v>
      </c>
      <c r="G22" s="422"/>
      <c r="H22" s="127">
        <f>IF($B5=0,IF($B6=0,IF($B7=0,FALSE,H6),H5),H6)</f>
        <v>15</v>
      </c>
      <c r="M22" s="51"/>
      <c r="P22" s="50"/>
      <c r="Q22" s="98" t="s">
        <v>74</v>
      </c>
      <c r="R22" s="2" t="s">
        <v>76</v>
      </c>
      <c r="S22" s="99">
        <v>0</v>
      </c>
      <c r="T22" s="458"/>
      <c r="U22" s="98">
        <v>0</v>
      </c>
      <c r="V22" s="2" t="s">
        <v>82</v>
      </c>
      <c r="W22" s="99" t="s">
        <v>83</v>
      </c>
      <c r="X22" s="458"/>
      <c r="Y22" s="98" t="s">
        <v>86</v>
      </c>
      <c r="Z22" s="2" t="s">
        <v>90</v>
      </c>
      <c r="AA22" s="99" t="s">
        <v>91</v>
      </c>
      <c r="AB22" s="51"/>
      <c r="AC22" s="51"/>
    </row>
    <row r="23" spans="1:35" ht="15.75" thickBot="1" x14ac:dyDescent="0.3">
      <c r="A23" s="50"/>
      <c r="B23" s="100">
        <f>IF($B5=0,IF($B6=0,IF($B7=0,FALSE,B5),B7),B7)</f>
        <v>0</v>
      </c>
      <c r="C23" s="101">
        <f>IF($B5=0,IF($B6=0,IF($B7=0,FALSE,C5),C7),C7)</f>
        <v>-7</v>
      </c>
      <c r="D23" s="102">
        <f>IF($B5=0,IF($B6=0,IF($B7=0,FALSE,D5),D7),D7)</f>
        <v>9</v>
      </c>
      <c r="E23" s="422"/>
      <c r="F23" s="128" t="str">
        <f>F7</f>
        <v>c</v>
      </c>
      <c r="G23" s="422"/>
      <c r="H23" s="128">
        <f>IF($B5=0,IF($B6=0,IF($B7=0,FALSE,H5),H7),H7)</f>
        <v>8</v>
      </c>
      <c r="M23" s="51"/>
      <c r="P23" s="50"/>
      <c r="Q23" s="100" t="s">
        <v>75</v>
      </c>
      <c r="R23" s="101" t="s">
        <v>77</v>
      </c>
      <c r="S23" s="102" t="s">
        <v>78</v>
      </c>
      <c r="T23" s="458"/>
      <c r="U23" s="100">
        <v>0</v>
      </c>
      <c r="V23" s="101">
        <v>0</v>
      </c>
      <c r="W23" s="102" t="s">
        <v>84</v>
      </c>
      <c r="X23" s="458"/>
      <c r="Y23" s="100" t="s">
        <v>87</v>
      </c>
      <c r="Z23" s="101" t="s">
        <v>92</v>
      </c>
      <c r="AA23" s="102" t="s">
        <v>131</v>
      </c>
      <c r="AB23" s="51"/>
      <c r="AC23" s="51"/>
    </row>
    <row r="24" spans="1:35" x14ac:dyDescent="0.25">
      <c r="A24" s="50"/>
      <c r="B24" s="50"/>
      <c r="M24" s="51"/>
      <c r="P24" s="50"/>
      <c r="AB24" s="51"/>
      <c r="AC24" s="51"/>
    </row>
    <row r="25" spans="1:35" x14ac:dyDescent="0.25">
      <c r="A25" s="50"/>
      <c r="B25" s="50"/>
      <c r="M25" s="51"/>
      <c r="P25" s="50"/>
      <c r="AB25" s="51"/>
      <c r="AC25" s="51"/>
    </row>
    <row r="26" spans="1:35" ht="15.75" thickBot="1" x14ac:dyDescent="0.3">
      <c r="A26" s="50"/>
      <c r="B26" s="50"/>
      <c r="C26" s="536" t="s">
        <v>259</v>
      </c>
      <c r="D26" s="536"/>
      <c r="E26" s="536"/>
      <c r="M26" s="51"/>
      <c r="P26" s="52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40"/>
      <c r="AC26" s="51"/>
    </row>
    <row r="27" spans="1:35" ht="21" thickBot="1" x14ac:dyDescent="0.35">
      <c r="A27" s="50"/>
      <c r="B27" s="50"/>
      <c r="M27" s="51"/>
      <c r="P27" s="448" t="s">
        <v>120</v>
      </c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50"/>
      <c r="AC27" s="51"/>
    </row>
    <row r="28" spans="1:35" ht="15.75" thickBot="1" x14ac:dyDescent="0.3">
      <c r="A28" s="50"/>
      <c r="B28" s="50"/>
      <c r="M28" s="51"/>
      <c r="P28" s="98"/>
      <c r="AB28" s="51"/>
      <c r="AC28" s="51"/>
    </row>
    <row r="29" spans="1:35" ht="16.5" thickBot="1" x14ac:dyDescent="0.3">
      <c r="A29" s="50"/>
      <c r="B29" s="528" t="s">
        <v>71</v>
      </c>
      <c r="C29" s="451"/>
      <c r="D29" s="451"/>
      <c r="E29" s="112" t="s">
        <v>36</v>
      </c>
      <c r="F29" s="451" t="s">
        <v>72</v>
      </c>
      <c r="G29" s="451"/>
      <c r="H29" s="451"/>
      <c r="I29" s="112" t="s">
        <v>36</v>
      </c>
      <c r="J29" s="112" t="s">
        <v>30</v>
      </c>
      <c r="K29" s="112" t="s">
        <v>32</v>
      </c>
      <c r="L29" s="113" t="s">
        <v>35</v>
      </c>
      <c r="M29" s="51"/>
      <c r="P29" s="50"/>
      <c r="Q29" s="505" t="s">
        <v>137</v>
      </c>
      <c r="R29" s="506"/>
      <c r="S29" s="506"/>
      <c r="T29" s="506"/>
      <c r="U29" s="506"/>
      <c r="V29" s="506"/>
      <c r="W29" s="506"/>
      <c r="X29" s="507"/>
      <c r="AB29" s="51"/>
      <c r="AC29" s="51"/>
    </row>
    <row r="30" spans="1:35" ht="15.75" thickBot="1" x14ac:dyDescent="0.3">
      <c r="A30" s="50"/>
      <c r="B30" s="50"/>
      <c r="M30" s="51"/>
      <c r="P30" s="50"/>
      <c r="Q30" s="514" t="s">
        <v>308</v>
      </c>
      <c r="R30" s="515"/>
      <c r="S30" s="515"/>
      <c r="T30" s="515"/>
      <c r="U30" s="515"/>
      <c r="V30" s="515"/>
      <c r="W30" s="515"/>
      <c r="X30" s="516"/>
      <c r="AB30" s="51"/>
      <c r="AC30" s="51"/>
    </row>
    <row r="31" spans="1:35" ht="15.75" thickBot="1" x14ac:dyDescent="0.3">
      <c r="A31" s="50"/>
      <c r="B31" s="98"/>
      <c r="C31" s="2"/>
      <c r="D31" s="2"/>
      <c r="E31" s="2"/>
      <c r="F31" s="2"/>
      <c r="I31" s="2"/>
      <c r="J31" s="2"/>
      <c r="K31" s="2"/>
      <c r="M31" s="51"/>
      <c r="P31" s="50"/>
      <c r="AB31" s="51"/>
      <c r="AC31" s="51"/>
      <c r="AI31" s="206"/>
    </row>
    <row r="32" spans="1:35" ht="15.75" thickBot="1" x14ac:dyDescent="0.3">
      <c r="A32" s="50"/>
      <c r="B32" s="124" t="s">
        <v>73</v>
      </c>
      <c r="C32" s="53">
        <v>0</v>
      </c>
      <c r="D32" s="103">
        <v>0</v>
      </c>
      <c r="E32" s="422" t="s">
        <v>30</v>
      </c>
      <c r="F32" s="124" t="s">
        <v>79</v>
      </c>
      <c r="G32" s="53" t="s">
        <v>80</v>
      </c>
      <c r="H32" s="103" t="s">
        <v>81</v>
      </c>
      <c r="I32" s="422" t="s">
        <v>30</v>
      </c>
      <c r="J32" s="126" t="str">
        <f>F21</f>
        <v>a</v>
      </c>
      <c r="K32" s="422" t="s">
        <v>32</v>
      </c>
      <c r="L32" s="126">
        <f>H21</f>
        <v>5</v>
      </c>
      <c r="M32" s="51"/>
      <c r="P32" s="50"/>
      <c r="Q32" s="69" t="s">
        <v>100</v>
      </c>
      <c r="R32" s="70">
        <v>1</v>
      </c>
      <c r="S32" s="2"/>
      <c r="T32" s="69" t="s">
        <v>133</v>
      </c>
      <c r="U32" s="70">
        <v>1</v>
      </c>
      <c r="V32" s="2"/>
      <c r="W32" s="69" t="s">
        <v>105</v>
      </c>
      <c r="X32" s="70">
        <v>1</v>
      </c>
      <c r="Y32" s="2"/>
      <c r="Z32" s="2"/>
      <c r="AA32" s="2"/>
      <c r="AB32" s="51"/>
      <c r="AC32" s="51"/>
    </row>
    <row r="33" spans="1:29" ht="15.75" thickBot="1" x14ac:dyDescent="0.3">
      <c r="A33" s="50"/>
      <c r="B33" s="98" t="s">
        <v>74</v>
      </c>
      <c r="C33" s="2" t="s">
        <v>76</v>
      </c>
      <c r="D33" s="99">
        <v>0</v>
      </c>
      <c r="E33" s="422"/>
      <c r="F33" s="98">
        <v>0</v>
      </c>
      <c r="G33" s="2" t="s">
        <v>82</v>
      </c>
      <c r="H33" s="99" t="s">
        <v>83</v>
      </c>
      <c r="I33" s="422"/>
      <c r="J33" s="127" t="str">
        <f>F22</f>
        <v>b</v>
      </c>
      <c r="K33" s="422"/>
      <c r="L33" s="127">
        <f>H22</f>
        <v>15</v>
      </c>
      <c r="M33" s="51"/>
      <c r="P33" s="50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51"/>
      <c r="AC33" s="51"/>
    </row>
    <row r="34" spans="1:29" ht="15.75" thickBot="1" x14ac:dyDescent="0.3">
      <c r="A34" s="50"/>
      <c r="B34" s="100" t="s">
        <v>75</v>
      </c>
      <c r="C34" s="101" t="s">
        <v>77</v>
      </c>
      <c r="D34" s="102" t="s">
        <v>78</v>
      </c>
      <c r="E34" s="422"/>
      <c r="F34" s="100">
        <v>0</v>
      </c>
      <c r="G34" s="101">
        <v>0</v>
      </c>
      <c r="H34" s="102" t="s">
        <v>84</v>
      </c>
      <c r="I34" s="422"/>
      <c r="J34" s="128" t="str">
        <f>F23</f>
        <v>c</v>
      </c>
      <c r="K34" s="422"/>
      <c r="L34" s="128">
        <f>H23</f>
        <v>8</v>
      </c>
      <c r="M34" s="51"/>
      <c r="P34" s="50"/>
      <c r="Q34" s="111"/>
      <c r="R34" s="112" t="s">
        <v>71</v>
      </c>
      <c r="S34" s="112"/>
      <c r="T34" s="112" t="s">
        <v>30</v>
      </c>
      <c r="U34" s="112"/>
      <c r="V34" s="112" t="s">
        <v>72</v>
      </c>
      <c r="W34" s="112"/>
      <c r="X34" s="112" t="s">
        <v>32</v>
      </c>
      <c r="Y34" s="451" t="s">
        <v>70</v>
      </c>
      <c r="Z34" s="451"/>
      <c r="AA34" s="532"/>
      <c r="AB34" s="51"/>
      <c r="AC34" s="51"/>
    </row>
    <row r="35" spans="1:29" ht="15.75" thickBot="1" x14ac:dyDescent="0.3">
      <c r="A35" s="50"/>
      <c r="B35" s="10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40"/>
      <c r="P35" s="50"/>
      <c r="Q35" s="98" t="str">
        <f t="shared" ref="Q35:S37" si="0">Q21</f>
        <v>L11</v>
      </c>
      <c r="R35" s="2">
        <f t="shared" si="0"/>
        <v>0</v>
      </c>
      <c r="S35" s="99">
        <f t="shared" si="0"/>
        <v>0</v>
      </c>
      <c r="T35" s="458" t="s">
        <v>30</v>
      </c>
      <c r="U35" s="98">
        <v>1</v>
      </c>
      <c r="V35" s="2" t="s">
        <v>80</v>
      </c>
      <c r="W35" s="99" t="s">
        <v>81</v>
      </c>
      <c r="X35" s="458" t="s">
        <v>32</v>
      </c>
      <c r="Y35" s="98" t="s">
        <v>73</v>
      </c>
      <c r="Z35" s="2" t="s">
        <v>88</v>
      </c>
      <c r="AA35" s="99" t="s">
        <v>89</v>
      </c>
      <c r="AB35" s="51"/>
      <c r="AC35" s="51"/>
    </row>
    <row r="36" spans="1:29" x14ac:dyDescent="0.25">
      <c r="A36" s="50"/>
      <c r="P36" s="50"/>
      <c r="Q36" s="98" t="str">
        <f t="shared" si="0"/>
        <v>L21</v>
      </c>
      <c r="R36" s="2" t="str">
        <f t="shared" si="0"/>
        <v>L22</v>
      </c>
      <c r="S36" s="99">
        <f t="shared" si="0"/>
        <v>0</v>
      </c>
      <c r="T36" s="458"/>
      <c r="U36" s="98">
        <v>0</v>
      </c>
      <c r="V36" s="2">
        <v>1</v>
      </c>
      <c r="W36" s="99" t="s">
        <v>83</v>
      </c>
      <c r="X36" s="458"/>
      <c r="Y36" s="98" t="s">
        <v>74</v>
      </c>
      <c r="Z36" s="2" t="s">
        <v>134</v>
      </c>
      <c r="AA36" s="99" t="s">
        <v>91</v>
      </c>
      <c r="AB36" s="51"/>
      <c r="AC36" s="51"/>
    </row>
    <row r="37" spans="1:29" ht="15.75" thickBot="1" x14ac:dyDescent="0.3">
      <c r="A37" s="50"/>
      <c r="P37" s="50"/>
      <c r="Q37" s="100" t="str">
        <f t="shared" si="0"/>
        <v>L31</v>
      </c>
      <c r="R37" s="101" t="str">
        <f t="shared" si="0"/>
        <v>L32</v>
      </c>
      <c r="S37" s="102" t="str">
        <f t="shared" si="0"/>
        <v>L33</v>
      </c>
      <c r="T37" s="458"/>
      <c r="U37" s="100">
        <v>0</v>
      </c>
      <c r="V37" s="101">
        <v>0</v>
      </c>
      <c r="W37" s="102">
        <v>1</v>
      </c>
      <c r="X37" s="458"/>
      <c r="Y37" s="100" t="s">
        <v>75</v>
      </c>
      <c r="Z37" s="101" t="s">
        <v>135</v>
      </c>
      <c r="AA37" s="102" t="s">
        <v>136</v>
      </c>
      <c r="AB37" s="51"/>
      <c r="AC37" s="51"/>
    </row>
    <row r="38" spans="1:29" ht="15.75" thickBot="1" x14ac:dyDescent="0.3">
      <c r="A38" s="50"/>
      <c r="B38" s="47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9"/>
      <c r="P38" s="50"/>
      <c r="AB38" s="51"/>
      <c r="AC38" s="51"/>
    </row>
    <row r="39" spans="1:29" ht="15.75" thickBot="1" x14ac:dyDescent="0.3">
      <c r="A39" s="50"/>
      <c r="B39" s="528" t="s">
        <v>71</v>
      </c>
      <c r="C39" s="451"/>
      <c r="D39" s="451"/>
      <c r="E39" s="112" t="s">
        <v>36</v>
      </c>
      <c r="F39" s="451" t="s">
        <v>72</v>
      </c>
      <c r="G39" s="451"/>
      <c r="H39" s="451"/>
      <c r="I39" s="112" t="s">
        <v>36</v>
      </c>
      <c r="J39" s="112" t="s">
        <v>30</v>
      </c>
      <c r="K39" s="112" t="s">
        <v>32</v>
      </c>
      <c r="L39" s="113" t="s">
        <v>35</v>
      </c>
      <c r="M39" s="51"/>
      <c r="P39" s="50"/>
      <c r="AB39" s="51"/>
      <c r="AC39" s="51"/>
    </row>
    <row r="40" spans="1:29" ht="16.5" thickBot="1" x14ac:dyDescent="0.3">
      <c r="A40" s="50"/>
      <c r="B40" s="50"/>
      <c r="M40" s="51"/>
      <c r="P40" s="50"/>
      <c r="Q40" s="463" t="s">
        <v>262</v>
      </c>
      <c r="R40" s="463"/>
      <c r="S40" s="463"/>
      <c r="T40" s="463"/>
      <c r="AB40" s="51"/>
      <c r="AC40" s="51"/>
    </row>
    <row r="41" spans="1:29" ht="15.75" thickBot="1" x14ac:dyDescent="0.3">
      <c r="A41" s="50"/>
      <c r="B41" s="124">
        <f>R52</f>
        <v>1</v>
      </c>
      <c r="C41" s="53">
        <f>C32</f>
        <v>0</v>
      </c>
      <c r="D41" s="103">
        <f>D32</f>
        <v>0</v>
      </c>
      <c r="E41" s="422" t="s">
        <v>30</v>
      </c>
      <c r="F41" s="124">
        <f>R48</f>
        <v>1</v>
      </c>
      <c r="G41" s="53">
        <f>U48</f>
        <v>2</v>
      </c>
      <c r="H41" s="103">
        <f>X48</f>
        <v>3</v>
      </c>
      <c r="I41" s="422" t="s">
        <v>30</v>
      </c>
      <c r="J41" s="126" t="str">
        <f>J32</f>
        <v>a</v>
      </c>
      <c r="K41" s="422" t="s">
        <v>32</v>
      </c>
      <c r="L41" s="126">
        <f>L32</f>
        <v>5</v>
      </c>
      <c r="M41" s="51"/>
      <c r="P41" s="50"/>
      <c r="AB41" s="51"/>
      <c r="AC41" s="51"/>
    </row>
    <row r="42" spans="1:29" ht="15.75" thickBot="1" x14ac:dyDescent="0.3">
      <c r="A42" s="50"/>
      <c r="B42" s="98">
        <f>R53</f>
        <v>0</v>
      </c>
      <c r="C42" s="2">
        <f>U53</f>
        <v>-1</v>
      </c>
      <c r="D42" s="99">
        <f>D33</f>
        <v>0</v>
      </c>
      <c r="E42" s="422"/>
      <c r="F42" s="98">
        <f>F33</f>
        <v>0</v>
      </c>
      <c r="G42" s="2">
        <f>U49</f>
        <v>1</v>
      </c>
      <c r="H42" s="99">
        <f>X49</f>
        <v>-2</v>
      </c>
      <c r="I42" s="422"/>
      <c r="J42" s="127" t="str">
        <f>J33</f>
        <v>b</v>
      </c>
      <c r="K42" s="422"/>
      <c r="L42" s="127">
        <f>L33</f>
        <v>15</v>
      </c>
      <c r="M42" s="51"/>
      <c r="P42" s="50"/>
      <c r="U42" s="124">
        <f t="shared" ref="U42:W44" si="1">B21</f>
        <v>1</v>
      </c>
      <c r="V42" s="53">
        <f t="shared" si="1"/>
        <v>2</v>
      </c>
      <c r="W42" s="103">
        <f t="shared" si="1"/>
        <v>3</v>
      </c>
      <c r="X42" s="458" t="s">
        <v>32</v>
      </c>
      <c r="Y42" s="124" t="str">
        <f t="shared" ref="Y42:AA44" si="2">Y35</f>
        <v>L11</v>
      </c>
      <c r="Z42" s="53" t="str">
        <f t="shared" si="2"/>
        <v>L11U12</v>
      </c>
      <c r="AA42" s="103" t="str">
        <f t="shared" si="2"/>
        <v>L11U13</v>
      </c>
      <c r="AB42" s="51"/>
      <c r="AC42" s="51"/>
    </row>
    <row r="43" spans="1:29" ht="15.75" thickBot="1" x14ac:dyDescent="0.3">
      <c r="A43" s="50"/>
      <c r="B43" s="100">
        <f>R54</f>
        <v>0</v>
      </c>
      <c r="C43" s="101">
        <f>U54</f>
        <v>-7</v>
      </c>
      <c r="D43" s="102">
        <f>X54</f>
        <v>-5</v>
      </c>
      <c r="E43" s="422"/>
      <c r="F43" s="100">
        <f>F34</f>
        <v>0</v>
      </c>
      <c r="G43" s="101">
        <f>G34</f>
        <v>0</v>
      </c>
      <c r="H43" s="102">
        <f>X50</f>
        <v>1</v>
      </c>
      <c r="I43" s="422"/>
      <c r="J43" s="128" t="str">
        <f>J34</f>
        <v>c</v>
      </c>
      <c r="K43" s="131"/>
      <c r="L43" s="128">
        <f>L34</f>
        <v>8</v>
      </c>
      <c r="M43" s="51"/>
      <c r="P43" s="50"/>
      <c r="Q43" s="111" t="s">
        <v>34</v>
      </c>
      <c r="R43" s="112" t="s">
        <v>32</v>
      </c>
      <c r="S43" s="113" t="s">
        <v>70</v>
      </c>
      <c r="T43" s="2" t="s">
        <v>103</v>
      </c>
      <c r="U43" s="98">
        <f t="shared" si="1"/>
        <v>0</v>
      </c>
      <c r="V43" s="2">
        <f t="shared" si="1"/>
        <v>-1</v>
      </c>
      <c r="W43" s="99">
        <f t="shared" si="1"/>
        <v>2</v>
      </c>
      <c r="X43" s="458"/>
      <c r="Y43" s="98" t="str">
        <f t="shared" si="2"/>
        <v>L21</v>
      </c>
      <c r="Z43" s="2" t="str">
        <f t="shared" si="2"/>
        <v>L21U12+L22</v>
      </c>
      <c r="AA43" s="99" t="str">
        <f t="shared" si="2"/>
        <v>L21U13+L22U23</v>
      </c>
      <c r="AB43" s="51"/>
      <c r="AC43" s="51"/>
    </row>
    <row r="44" spans="1:29" ht="15.75" thickBot="1" x14ac:dyDescent="0.3">
      <c r="A44" s="50"/>
      <c r="B44" s="98"/>
      <c r="M44" s="51"/>
      <c r="P44" s="50"/>
      <c r="U44" s="100">
        <f t="shared" si="1"/>
        <v>0</v>
      </c>
      <c r="V44" s="101">
        <f t="shared" si="1"/>
        <v>-7</v>
      </c>
      <c r="W44" s="102">
        <f t="shared" si="1"/>
        <v>9</v>
      </c>
      <c r="X44" s="458"/>
      <c r="Y44" s="100" t="str">
        <f t="shared" si="2"/>
        <v>L31</v>
      </c>
      <c r="Z44" s="101" t="str">
        <f t="shared" si="2"/>
        <v>L31U12+L32</v>
      </c>
      <c r="AA44" s="102" t="str">
        <f t="shared" si="2"/>
        <v>L31U13+L32U23+L33</v>
      </c>
      <c r="AB44" s="51"/>
      <c r="AC44" s="51"/>
    </row>
    <row r="45" spans="1:29" x14ac:dyDescent="0.25">
      <c r="A45" s="50"/>
      <c r="B45" s="98"/>
      <c r="M45" s="51"/>
      <c r="P45" s="50"/>
      <c r="AB45" s="51"/>
      <c r="AC45" s="51"/>
    </row>
    <row r="46" spans="1:29" ht="15.75" x14ac:dyDescent="0.25">
      <c r="A46" s="50"/>
      <c r="B46" s="98"/>
      <c r="M46" s="51"/>
      <c r="P46" s="50"/>
      <c r="Q46" s="463" t="s">
        <v>261</v>
      </c>
      <c r="R46" s="463"/>
      <c r="S46" s="463"/>
      <c r="T46" s="463"/>
      <c r="U46" s="463"/>
      <c r="V46" s="463"/>
      <c r="AB46" s="51"/>
      <c r="AC46" s="51"/>
    </row>
    <row r="47" spans="1:29" ht="15.75" thickBot="1" x14ac:dyDescent="0.3">
      <c r="A47" s="50"/>
      <c r="B47" s="98"/>
      <c r="G47" s="36" t="s">
        <v>119</v>
      </c>
      <c r="H47" s="36" t="s">
        <v>115</v>
      </c>
      <c r="M47" s="51"/>
      <c r="P47" s="50"/>
      <c r="AB47" s="51"/>
      <c r="AC47" s="51"/>
    </row>
    <row r="48" spans="1:29" ht="15.75" thickBot="1" x14ac:dyDescent="0.3">
      <c r="A48" s="50"/>
      <c r="B48" s="98"/>
      <c r="M48" s="51"/>
      <c r="P48" s="50"/>
      <c r="Q48" s="69" t="s">
        <v>100</v>
      </c>
      <c r="R48" s="70">
        <f>1</f>
        <v>1</v>
      </c>
      <c r="S48" s="2"/>
      <c r="T48" s="69" t="s">
        <v>101</v>
      </c>
      <c r="U48" s="70">
        <f>V42/R52</f>
        <v>2</v>
      </c>
      <c r="V48" s="2"/>
      <c r="W48" s="69" t="s">
        <v>102</v>
      </c>
      <c r="X48" s="70">
        <f>W42/R52</f>
        <v>3</v>
      </c>
      <c r="AB48" s="51"/>
      <c r="AC48" s="51"/>
    </row>
    <row r="49" spans="1:29" ht="15.75" thickBot="1" x14ac:dyDescent="0.3">
      <c r="A49" s="50"/>
      <c r="B49" s="98"/>
      <c r="M49" s="51"/>
      <c r="P49" s="50"/>
      <c r="Q49" s="2"/>
      <c r="R49" s="2"/>
      <c r="S49" s="2"/>
      <c r="T49" s="69" t="s">
        <v>106</v>
      </c>
      <c r="U49" s="70">
        <v>1</v>
      </c>
      <c r="V49" s="2"/>
      <c r="W49" s="69" t="s">
        <v>104</v>
      </c>
      <c r="X49" s="70">
        <f>(W43-(R53*X48))/U53</f>
        <v>-2</v>
      </c>
      <c r="AB49" s="51"/>
      <c r="AC49" s="51"/>
    </row>
    <row r="50" spans="1:29" ht="15.75" thickBot="1" x14ac:dyDescent="0.3">
      <c r="A50" s="50"/>
      <c r="B50" s="98"/>
      <c r="M50" s="51"/>
      <c r="P50" s="50"/>
      <c r="Q50" s="2"/>
      <c r="R50" s="2"/>
      <c r="S50" s="2"/>
      <c r="T50" s="2"/>
      <c r="U50" s="2"/>
      <c r="V50" s="2"/>
      <c r="W50" s="17" t="s">
        <v>107</v>
      </c>
      <c r="X50" s="19">
        <v>1</v>
      </c>
      <c r="AB50" s="51"/>
      <c r="AC50" s="51"/>
    </row>
    <row r="51" spans="1:29" ht="15.75" thickBot="1" x14ac:dyDescent="0.3">
      <c r="A51" s="50"/>
      <c r="B51" s="98"/>
      <c r="D51" s="2"/>
      <c r="E51" s="2"/>
      <c r="F51" s="111" t="s">
        <v>71</v>
      </c>
      <c r="G51" s="112" t="s">
        <v>36</v>
      </c>
      <c r="H51" s="112" t="s">
        <v>114</v>
      </c>
      <c r="I51" s="112" t="s">
        <v>32</v>
      </c>
      <c r="J51" s="113" t="s">
        <v>35</v>
      </c>
      <c r="M51" s="51"/>
      <c r="P51" s="50"/>
      <c r="Q51" s="2"/>
      <c r="R51" s="2"/>
      <c r="S51" s="2"/>
      <c r="T51" s="2"/>
      <c r="U51" s="2"/>
      <c r="V51" s="2"/>
      <c r="W51" s="2"/>
      <c r="X51" s="2"/>
      <c r="AB51" s="51"/>
      <c r="AC51" s="51"/>
    </row>
    <row r="52" spans="1:29" ht="15.75" thickBot="1" x14ac:dyDescent="0.3">
      <c r="A52" s="50"/>
      <c r="B52" s="98"/>
      <c r="D52" s="2"/>
      <c r="E52" s="2"/>
      <c r="F52" s="2"/>
      <c r="G52" s="2"/>
      <c r="H52" s="2"/>
      <c r="I52" s="2"/>
      <c r="J52" s="2"/>
      <c r="M52" s="51"/>
      <c r="P52" s="50"/>
      <c r="Q52" s="69" t="s">
        <v>94</v>
      </c>
      <c r="R52" s="70">
        <f>U42</f>
        <v>1</v>
      </c>
      <c r="S52" s="2"/>
      <c r="T52" s="2"/>
      <c r="U52" s="2"/>
      <c r="V52" s="2"/>
      <c r="W52" s="2"/>
      <c r="X52" s="2"/>
      <c r="AB52" s="51"/>
      <c r="AC52" s="51"/>
    </row>
    <row r="53" spans="1:29" ht="15.75" thickBot="1" x14ac:dyDescent="0.3">
      <c r="A53" s="50"/>
      <c r="B53" s="98"/>
      <c r="D53" s="124">
        <f t="shared" ref="D53:F55" si="3">B41</f>
        <v>1</v>
      </c>
      <c r="E53" s="53">
        <f t="shared" si="3"/>
        <v>0</v>
      </c>
      <c r="F53" s="103">
        <f t="shared" si="3"/>
        <v>0</v>
      </c>
      <c r="G53" s="458" t="s">
        <v>30</v>
      </c>
      <c r="H53" s="126" t="s">
        <v>116</v>
      </c>
      <c r="I53" s="458" t="s">
        <v>32</v>
      </c>
      <c r="J53" s="126">
        <f>L32</f>
        <v>5</v>
      </c>
      <c r="M53" s="51"/>
      <c r="P53" s="50"/>
      <c r="Q53" s="69" t="s">
        <v>108</v>
      </c>
      <c r="R53" s="70">
        <f>U43</f>
        <v>0</v>
      </c>
      <c r="S53" s="2"/>
      <c r="T53" s="69" t="s">
        <v>110</v>
      </c>
      <c r="U53" s="70">
        <f>(V43-(R53*U48))</f>
        <v>-1</v>
      </c>
      <c r="V53" s="2"/>
      <c r="W53" s="2"/>
      <c r="X53" s="2"/>
      <c r="AB53" s="51"/>
      <c r="AC53" s="51"/>
    </row>
    <row r="54" spans="1:29" ht="15.75" thickBot="1" x14ac:dyDescent="0.3">
      <c r="A54" s="50"/>
      <c r="B54" s="98"/>
      <c r="D54" s="98">
        <f t="shared" si="3"/>
        <v>0</v>
      </c>
      <c r="E54" s="2">
        <f t="shared" si="3"/>
        <v>-1</v>
      </c>
      <c r="F54" s="99">
        <f t="shared" si="3"/>
        <v>0</v>
      </c>
      <c r="G54" s="458"/>
      <c r="H54" s="127" t="s">
        <v>117</v>
      </c>
      <c r="I54" s="458"/>
      <c r="J54" s="127">
        <f>L33</f>
        <v>15</v>
      </c>
      <c r="M54" s="51"/>
      <c r="P54" s="50"/>
      <c r="Q54" s="69" t="s">
        <v>109</v>
      </c>
      <c r="R54" s="70">
        <f>U44</f>
        <v>0</v>
      </c>
      <c r="S54" s="2"/>
      <c r="T54" s="69" t="s">
        <v>112</v>
      </c>
      <c r="U54" s="70">
        <f>V44-(R54*U48)</f>
        <v>-7</v>
      </c>
      <c r="V54" s="2"/>
      <c r="W54" s="69" t="s">
        <v>111</v>
      </c>
      <c r="X54" s="70">
        <f>W44-(R54*X48)-(U54*X49)</f>
        <v>-5</v>
      </c>
      <c r="AB54" s="51"/>
      <c r="AC54" s="51"/>
    </row>
    <row r="55" spans="1:29" ht="15.75" thickBot="1" x14ac:dyDescent="0.3">
      <c r="A55" s="50"/>
      <c r="B55" s="98"/>
      <c r="D55" s="100">
        <f t="shared" si="3"/>
        <v>0</v>
      </c>
      <c r="E55" s="101">
        <f t="shared" si="3"/>
        <v>-7</v>
      </c>
      <c r="F55" s="102">
        <f t="shared" si="3"/>
        <v>-5</v>
      </c>
      <c r="G55" s="458"/>
      <c r="H55" s="128" t="s">
        <v>118</v>
      </c>
      <c r="I55" s="458"/>
      <c r="J55" s="128">
        <f>L34</f>
        <v>8</v>
      </c>
      <c r="M55" s="51"/>
      <c r="P55" s="52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40"/>
      <c r="AC55" s="51"/>
    </row>
    <row r="56" spans="1:29" x14ac:dyDescent="0.25">
      <c r="A56" s="50"/>
      <c r="B56" s="98"/>
      <c r="M56" s="51"/>
      <c r="AC56" s="51"/>
    </row>
    <row r="57" spans="1:29" x14ac:dyDescent="0.25">
      <c r="A57" s="50"/>
      <c r="B57" s="98"/>
      <c r="M57" s="51"/>
      <c r="AC57" s="51"/>
    </row>
    <row r="58" spans="1:29" x14ac:dyDescent="0.25">
      <c r="A58" s="50"/>
      <c r="B58" s="98"/>
      <c r="M58" s="51"/>
      <c r="AC58" s="51"/>
    </row>
    <row r="59" spans="1:29" x14ac:dyDescent="0.25">
      <c r="A59" s="50"/>
      <c r="B59" s="98"/>
      <c r="H59" s="500" t="s">
        <v>121</v>
      </c>
      <c r="I59" s="500"/>
      <c r="M59" s="51"/>
      <c r="AC59" s="51"/>
    </row>
    <row r="60" spans="1:29" ht="15.75" thickBot="1" x14ac:dyDescent="0.3">
      <c r="A60" s="50"/>
      <c r="B60" s="98"/>
      <c r="M60" s="51"/>
      <c r="AC60" s="51"/>
    </row>
    <row r="61" spans="1:29" x14ac:dyDescent="0.25">
      <c r="A61" s="50"/>
      <c r="B61" s="98"/>
      <c r="E61" s="2"/>
      <c r="F61" s="14" t="s">
        <v>122</v>
      </c>
      <c r="G61" s="16">
        <f>J53/D53</f>
        <v>5</v>
      </c>
      <c r="M61" s="51"/>
      <c r="AC61" s="51"/>
    </row>
    <row r="62" spans="1:29" x14ac:dyDescent="0.25">
      <c r="A62" s="50"/>
      <c r="B62" s="98"/>
      <c r="E62" s="2"/>
      <c r="F62" s="27" t="s">
        <v>123</v>
      </c>
      <c r="G62" s="28">
        <f>(J54-(D54*G61))/E54</f>
        <v>-15</v>
      </c>
      <c r="M62" s="51"/>
      <c r="AC62" s="51"/>
    </row>
    <row r="63" spans="1:29" ht="15.75" thickBot="1" x14ac:dyDescent="0.3">
      <c r="A63" s="50"/>
      <c r="B63" s="98"/>
      <c r="E63" s="2"/>
      <c r="F63" s="17" t="s">
        <v>124</v>
      </c>
      <c r="G63" s="19">
        <f>(J55-(D55*G61)-(E55*G62))/F55</f>
        <v>19.399999999999999</v>
      </c>
      <c r="M63" s="51"/>
      <c r="AC63" s="51"/>
    </row>
    <row r="64" spans="1:29" ht="15.75" thickBot="1" x14ac:dyDescent="0.3">
      <c r="A64" s="50"/>
      <c r="B64" s="100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40"/>
      <c r="AC64" s="51"/>
    </row>
    <row r="65" spans="1:29" x14ac:dyDescent="0.25">
      <c r="A65" s="50"/>
      <c r="AC65" s="51"/>
    </row>
    <row r="66" spans="1:29" x14ac:dyDescent="0.25">
      <c r="A66" s="50"/>
      <c r="AC66" s="51"/>
    </row>
    <row r="67" spans="1:29" x14ac:dyDescent="0.25">
      <c r="A67" s="50"/>
      <c r="AC67" s="51"/>
    </row>
    <row r="68" spans="1:29" x14ac:dyDescent="0.25">
      <c r="A68" s="50"/>
      <c r="AC68" s="51"/>
    </row>
    <row r="69" spans="1:29" ht="15.75" thickBot="1" x14ac:dyDescent="0.3">
      <c r="A69" s="50"/>
      <c r="AC69" s="51"/>
    </row>
    <row r="70" spans="1:29" ht="16.5" thickBot="1" x14ac:dyDescent="0.3">
      <c r="A70" s="50"/>
      <c r="B70" s="47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9"/>
      <c r="S70" s="257"/>
      <c r="T70" s="257"/>
      <c r="U70" s="257"/>
      <c r="V70" s="257"/>
      <c r="W70" s="257"/>
      <c r="X70" s="257"/>
      <c r="Y70" s="257"/>
      <c r="Z70" s="257"/>
      <c r="AC70" s="51"/>
    </row>
    <row r="71" spans="1:29" ht="15.75" customHeight="1" thickBot="1" x14ac:dyDescent="0.3">
      <c r="A71" s="50"/>
      <c r="B71" s="50"/>
      <c r="C71" s="528" t="s">
        <v>72</v>
      </c>
      <c r="D71" s="451"/>
      <c r="E71" s="451"/>
      <c r="F71" s="112" t="s">
        <v>36</v>
      </c>
      <c r="G71" s="112" t="s">
        <v>30</v>
      </c>
      <c r="H71" s="112" t="s">
        <v>32</v>
      </c>
      <c r="I71" s="113" t="s">
        <v>114</v>
      </c>
      <c r="M71" s="51"/>
      <c r="S71" s="257"/>
      <c r="T71" s="257"/>
      <c r="U71" s="257"/>
      <c r="V71" s="257"/>
      <c r="W71" s="257"/>
      <c r="X71" s="257"/>
      <c r="Y71" s="257"/>
      <c r="Z71" s="257"/>
      <c r="AC71" s="51"/>
    </row>
    <row r="72" spans="1:29" ht="15.75" customHeight="1" thickBot="1" x14ac:dyDescent="0.3">
      <c r="A72" s="50"/>
      <c r="B72" s="50"/>
      <c r="C72" s="2"/>
      <c r="D72" s="2"/>
      <c r="E72" s="2"/>
      <c r="F72" s="2"/>
      <c r="G72" s="2"/>
      <c r="H72" s="2"/>
      <c r="I72" s="2"/>
      <c r="M72" s="51"/>
      <c r="S72" s="257"/>
      <c r="T72" s="257"/>
      <c r="U72" s="257"/>
      <c r="V72" s="257"/>
      <c r="W72" s="257"/>
      <c r="X72" s="257"/>
      <c r="Y72" s="257"/>
      <c r="Z72" s="257"/>
      <c r="AC72" s="51"/>
    </row>
    <row r="73" spans="1:29" ht="15" customHeight="1" x14ac:dyDescent="0.25">
      <c r="A73" s="50"/>
      <c r="B73" s="50"/>
      <c r="C73" s="124">
        <f t="shared" ref="C73:E75" si="4">F41</f>
        <v>1</v>
      </c>
      <c r="D73" s="53">
        <f t="shared" si="4"/>
        <v>2</v>
      </c>
      <c r="E73" s="103">
        <f t="shared" si="4"/>
        <v>3</v>
      </c>
      <c r="F73" s="537" t="s">
        <v>30</v>
      </c>
      <c r="G73" s="126" t="str">
        <f>J41</f>
        <v>a</v>
      </c>
      <c r="H73" s="537" t="s">
        <v>32</v>
      </c>
      <c r="I73" s="126">
        <f>G61</f>
        <v>5</v>
      </c>
      <c r="M73" s="51"/>
      <c r="S73" s="257"/>
      <c r="T73" s="257"/>
      <c r="U73" s="257"/>
      <c r="V73" s="257"/>
      <c r="W73" s="257"/>
      <c r="X73" s="257"/>
      <c r="Y73" s="257"/>
      <c r="Z73" s="257"/>
      <c r="AC73" s="51"/>
    </row>
    <row r="74" spans="1:29" ht="15.75" customHeight="1" x14ac:dyDescent="0.25">
      <c r="A74" s="50"/>
      <c r="B74" s="50"/>
      <c r="C74" s="98">
        <f t="shared" si="4"/>
        <v>0</v>
      </c>
      <c r="D74" s="2">
        <f t="shared" si="4"/>
        <v>1</v>
      </c>
      <c r="E74" s="99">
        <f t="shared" si="4"/>
        <v>-2</v>
      </c>
      <c r="F74" s="537"/>
      <c r="G74" s="127" t="str">
        <f>J42</f>
        <v>b</v>
      </c>
      <c r="H74" s="537"/>
      <c r="I74" s="127">
        <f>G62</f>
        <v>-15</v>
      </c>
      <c r="M74" s="51"/>
      <c r="S74" s="257"/>
      <c r="T74" s="257"/>
      <c r="U74" s="257"/>
      <c r="V74" s="257"/>
      <c r="W74" s="257"/>
      <c r="X74" s="257"/>
      <c r="Y74" s="257"/>
      <c r="Z74" s="257"/>
      <c r="AC74" s="51"/>
    </row>
    <row r="75" spans="1:29" ht="16.5" thickBot="1" x14ac:dyDescent="0.3">
      <c r="A75" s="50"/>
      <c r="B75" s="50"/>
      <c r="C75" s="100">
        <f t="shared" si="4"/>
        <v>0</v>
      </c>
      <c r="D75" s="101">
        <f t="shared" si="4"/>
        <v>0</v>
      </c>
      <c r="E75" s="102">
        <f t="shared" si="4"/>
        <v>1</v>
      </c>
      <c r="F75" s="537"/>
      <c r="G75" s="128" t="str">
        <f>J43</f>
        <v>c</v>
      </c>
      <c r="H75" s="537"/>
      <c r="I75" s="128">
        <f>G63</f>
        <v>19.399999999999999</v>
      </c>
      <c r="M75" s="51"/>
      <c r="S75" s="257"/>
      <c r="T75" s="257"/>
      <c r="U75" s="257"/>
      <c r="V75" s="257"/>
      <c r="W75" s="257"/>
      <c r="X75" s="257"/>
      <c r="Y75" s="257"/>
      <c r="Z75" s="257"/>
      <c r="AC75" s="51"/>
    </row>
    <row r="76" spans="1:29" ht="15.75" x14ac:dyDescent="0.25">
      <c r="A76" s="50"/>
      <c r="B76" s="50"/>
      <c r="M76" s="51"/>
      <c r="S76" s="257"/>
      <c r="T76" s="257"/>
      <c r="U76" s="257"/>
      <c r="V76" s="257"/>
      <c r="W76" s="257"/>
      <c r="X76" s="257"/>
      <c r="Y76" s="257"/>
      <c r="Z76" s="257"/>
      <c r="AC76" s="51"/>
    </row>
    <row r="77" spans="1:29" ht="16.5" thickBot="1" x14ac:dyDescent="0.3">
      <c r="A77" s="50"/>
      <c r="B77" s="50"/>
      <c r="M77" s="51"/>
      <c r="S77" s="257"/>
      <c r="T77" s="257"/>
      <c r="U77" s="257"/>
      <c r="V77" s="257"/>
      <c r="W77" s="257"/>
      <c r="X77" s="257"/>
      <c r="Y77" s="257"/>
      <c r="Z77" s="257"/>
      <c r="AC77" s="51"/>
    </row>
    <row r="78" spans="1:29" ht="15.75" x14ac:dyDescent="0.25">
      <c r="A78" s="50"/>
      <c r="B78" s="50"/>
      <c r="D78" s="14" t="str">
        <f>G75</f>
        <v>c</v>
      </c>
      <c r="E78" s="15" t="s">
        <v>32</v>
      </c>
      <c r="F78" s="16">
        <f>I75/E75</f>
        <v>19.399999999999999</v>
      </c>
      <c r="G78" s="119" t="s">
        <v>55</v>
      </c>
      <c r="H78" s="117" t="s">
        <v>56</v>
      </c>
      <c r="I78" s="117"/>
      <c r="J78" s="117"/>
      <c r="M78" s="51"/>
      <c r="S78" s="257"/>
      <c r="T78" s="257"/>
      <c r="U78" s="257"/>
      <c r="V78" s="257"/>
      <c r="W78" s="257"/>
      <c r="X78" s="257"/>
      <c r="Y78" s="257"/>
      <c r="Z78" s="257"/>
      <c r="AC78" s="51"/>
    </row>
    <row r="79" spans="1:29" ht="15.75" x14ac:dyDescent="0.25">
      <c r="A79" s="50"/>
      <c r="B79" s="50"/>
      <c r="D79" s="27" t="str">
        <f>G74</f>
        <v>b</v>
      </c>
      <c r="E79" s="26" t="s">
        <v>32</v>
      </c>
      <c r="F79" s="28">
        <f>(I74-(E74*F78))/D74</f>
        <v>23.799999999999997</v>
      </c>
      <c r="G79" s="119" t="str">
        <f>G78</f>
        <v>&lt;&lt;&lt;&lt;&lt;&lt;</v>
      </c>
      <c r="H79" s="117" t="s">
        <v>57</v>
      </c>
      <c r="I79" s="117"/>
      <c r="J79" s="117"/>
      <c r="M79" s="51"/>
      <c r="S79" s="257"/>
      <c r="T79" s="257"/>
      <c r="U79" s="257"/>
      <c r="V79" s="257"/>
      <c r="W79" s="257"/>
      <c r="X79" s="257"/>
      <c r="Y79" s="257"/>
      <c r="Z79" s="257"/>
      <c r="AC79" s="51"/>
    </row>
    <row r="80" spans="1:29" ht="15.75" thickBot="1" x14ac:dyDescent="0.3">
      <c r="A80" s="50"/>
      <c r="B80" s="50"/>
      <c r="D80" s="17" t="str">
        <f>G73</f>
        <v>a</v>
      </c>
      <c r="E80" s="18" t="s">
        <v>32</v>
      </c>
      <c r="F80" s="19">
        <f>(I73-(D73*F79)-(E73*F78))/C73</f>
        <v>-100.79999999999998</v>
      </c>
      <c r="G80" s="119" t="str">
        <f>G79</f>
        <v>&lt;&lt;&lt;&lt;&lt;&lt;</v>
      </c>
      <c r="H80" s="117" t="s">
        <v>58</v>
      </c>
      <c r="I80" s="117"/>
      <c r="J80" s="117"/>
      <c r="M80" s="51"/>
      <c r="AC80" s="51"/>
    </row>
    <row r="81" spans="1:34" ht="15.75" thickBot="1" x14ac:dyDescent="0.3">
      <c r="A81" s="50"/>
      <c r="B81" s="52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40"/>
      <c r="AC81" s="51"/>
    </row>
    <row r="82" spans="1:34" x14ac:dyDescent="0.25">
      <c r="A82" s="50"/>
      <c r="AC82" s="51"/>
    </row>
    <row r="83" spans="1:34" ht="15.75" thickBot="1" x14ac:dyDescent="0.3">
      <c r="A83" s="52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40"/>
    </row>
    <row r="84" spans="1:34" x14ac:dyDescent="0.25">
      <c r="A84" s="464" t="s">
        <v>365</v>
      </c>
      <c r="B84" s="465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5"/>
      <c r="V84" s="465"/>
      <c r="W84" s="465"/>
      <c r="X84" s="465"/>
      <c r="Y84" s="465"/>
      <c r="Z84" s="465"/>
      <c r="AA84" s="465"/>
      <c r="AB84" s="465"/>
      <c r="AC84" s="465"/>
      <c r="AD84" s="465"/>
      <c r="AE84" s="465"/>
      <c r="AF84" s="465"/>
      <c r="AG84" s="465"/>
      <c r="AH84" s="466"/>
    </row>
    <row r="85" spans="1:34" ht="15.75" thickBot="1" x14ac:dyDescent="0.3">
      <c r="A85" s="467"/>
      <c r="B85" s="468"/>
      <c r="C85" s="468"/>
      <c r="D85" s="468"/>
      <c r="E85" s="468"/>
      <c r="F85" s="468"/>
      <c r="G85" s="468"/>
      <c r="H85" s="468"/>
      <c r="I85" s="468"/>
      <c r="J85" s="468"/>
      <c r="K85" s="468"/>
      <c r="L85" s="468"/>
      <c r="M85" s="468"/>
      <c r="N85" s="468"/>
      <c r="O85" s="468"/>
      <c r="P85" s="468"/>
      <c r="Q85" s="468"/>
      <c r="R85" s="468"/>
      <c r="S85" s="468"/>
      <c r="T85" s="468"/>
      <c r="U85" s="468"/>
      <c r="V85" s="468"/>
      <c r="W85" s="468"/>
      <c r="X85" s="468"/>
      <c r="Y85" s="468"/>
      <c r="Z85" s="468"/>
      <c r="AA85" s="468"/>
      <c r="AB85" s="468"/>
      <c r="AC85" s="468"/>
      <c r="AD85" s="468"/>
      <c r="AE85" s="468"/>
      <c r="AF85" s="468"/>
      <c r="AG85" s="468"/>
      <c r="AH85" s="469"/>
    </row>
    <row r="86" spans="1:34" ht="16.5" thickBot="1" x14ac:dyDescent="0.3">
      <c r="A86" s="257"/>
      <c r="B86" s="257"/>
      <c r="C86" s="257"/>
      <c r="D86" s="257"/>
      <c r="E86" s="257"/>
      <c r="F86" s="257"/>
      <c r="G86" s="257"/>
      <c r="H86" s="257"/>
      <c r="I86" s="257"/>
      <c r="J86" s="257"/>
      <c r="K86" s="257"/>
      <c r="L86" s="257"/>
      <c r="M86" s="257"/>
      <c r="N86" s="257"/>
      <c r="O86" s="257"/>
      <c r="P86" s="257"/>
      <c r="Q86" s="257"/>
      <c r="R86" s="257"/>
      <c r="S86" s="257"/>
      <c r="T86" s="257"/>
      <c r="U86" s="257"/>
      <c r="V86" s="257"/>
      <c r="W86" s="257"/>
      <c r="X86" s="257"/>
      <c r="Y86" s="257"/>
      <c r="Z86" s="257"/>
      <c r="AA86" s="257"/>
      <c r="AB86" s="257"/>
      <c r="AC86" s="257"/>
      <c r="AD86" s="257"/>
      <c r="AE86" s="257"/>
      <c r="AF86" s="257"/>
      <c r="AG86" s="257"/>
      <c r="AH86" s="257"/>
    </row>
    <row r="87" spans="1:34" ht="16.5" thickBot="1" x14ac:dyDescent="0.3">
      <c r="A87" s="257"/>
      <c r="B87" s="307"/>
      <c r="C87" s="308"/>
      <c r="D87" s="308"/>
      <c r="E87" s="308"/>
      <c r="F87" s="308"/>
      <c r="G87" s="308"/>
      <c r="H87" s="308"/>
      <c r="I87" s="308"/>
      <c r="J87" s="308"/>
      <c r="K87" s="308"/>
      <c r="L87" s="308"/>
      <c r="M87" s="308"/>
      <c r="N87" s="308"/>
      <c r="O87" s="308"/>
      <c r="P87" s="309"/>
      <c r="Q87" s="257"/>
      <c r="R87" s="257"/>
      <c r="S87" s="490" t="s">
        <v>113</v>
      </c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2"/>
    </row>
    <row r="88" spans="1:34" ht="15.75" thickBot="1" x14ac:dyDescent="0.3">
      <c r="A88" s="50"/>
      <c r="B88" s="50"/>
      <c r="C88" s="470" t="s">
        <v>34</v>
      </c>
      <c r="D88" s="471"/>
      <c r="E88" s="471"/>
      <c r="F88" s="471"/>
      <c r="G88" s="471" t="s">
        <v>36</v>
      </c>
      <c r="H88" s="471" t="s">
        <v>30</v>
      </c>
      <c r="I88" s="471" t="s">
        <v>32</v>
      </c>
      <c r="J88" s="474" t="s">
        <v>35</v>
      </c>
      <c r="P88" s="51"/>
      <c r="S88" s="493"/>
      <c r="T88" s="494"/>
      <c r="U88" s="494"/>
      <c r="V88" s="494"/>
      <c r="W88" s="494"/>
      <c r="X88" s="494"/>
      <c r="Y88" s="494"/>
      <c r="Z88" s="494"/>
      <c r="AA88" s="494"/>
      <c r="AB88" s="494"/>
      <c r="AC88" s="494"/>
      <c r="AD88" s="494"/>
      <c r="AE88" s="494"/>
      <c r="AF88" s="494"/>
      <c r="AG88" s="494"/>
      <c r="AH88" s="495"/>
    </row>
    <row r="89" spans="1:34" ht="15.75" thickBot="1" x14ac:dyDescent="0.3">
      <c r="A89" s="50"/>
      <c r="B89" s="50"/>
      <c r="C89" s="472"/>
      <c r="D89" s="473"/>
      <c r="E89" s="473"/>
      <c r="F89" s="473"/>
      <c r="G89" s="473"/>
      <c r="H89" s="473"/>
      <c r="I89" s="473"/>
      <c r="J89" s="475"/>
      <c r="P89" s="51"/>
      <c r="S89" s="47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9"/>
    </row>
    <row r="90" spans="1:34" ht="15.75" thickBot="1" x14ac:dyDescent="0.3">
      <c r="A90" s="50"/>
      <c r="B90" s="50"/>
      <c r="P90" s="51"/>
      <c r="S90" s="50"/>
      <c r="T90" s="498" t="s">
        <v>71</v>
      </c>
      <c r="U90" s="486"/>
      <c r="V90" s="486"/>
      <c r="W90" s="486"/>
      <c r="X90" s="486" t="s">
        <v>36</v>
      </c>
      <c r="Y90" s="486" t="s">
        <v>72</v>
      </c>
      <c r="Z90" s="486"/>
      <c r="AA90" s="486"/>
      <c r="AB90" s="486"/>
      <c r="AC90" s="486" t="s">
        <v>32</v>
      </c>
      <c r="AD90" s="486" t="s">
        <v>70</v>
      </c>
      <c r="AE90" s="486"/>
      <c r="AF90" s="486"/>
      <c r="AG90" s="487"/>
      <c r="AH90" s="51"/>
    </row>
    <row r="91" spans="1:34" ht="15.75" thickBot="1" x14ac:dyDescent="0.3">
      <c r="A91" s="50"/>
      <c r="B91" s="50"/>
      <c r="C91" s="278">
        <f t="shared" ref="C91:F94" si="5">K5</f>
        <v>2</v>
      </c>
      <c r="D91" s="274">
        <f t="shared" si="5"/>
        <v>4</v>
      </c>
      <c r="E91" s="274">
        <f t="shared" si="5"/>
        <v>-2</v>
      </c>
      <c r="F91" s="276">
        <f t="shared" si="5"/>
        <v>-2</v>
      </c>
      <c r="G91" s="477" t="s">
        <v>30</v>
      </c>
      <c r="H91" s="270" t="str">
        <f t="shared" ref="H91:H94" si="6">P5</f>
        <v>a</v>
      </c>
      <c r="I91" s="483" t="s">
        <v>32</v>
      </c>
      <c r="J91" s="270">
        <f t="shared" ref="J91:J94" si="7">R5</f>
        <v>-4</v>
      </c>
      <c r="P91" s="51"/>
      <c r="S91" s="50"/>
      <c r="T91" s="499"/>
      <c r="U91" s="488"/>
      <c r="V91" s="488"/>
      <c r="W91" s="488"/>
      <c r="X91" s="488"/>
      <c r="Y91" s="488"/>
      <c r="Z91" s="488"/>
      <c r="AA91" s="488"/>
      <c r="AB91" s="488"/>
      <c r="AC91" s="488"/>
      <c r="AD91" s="488"/>
      <c r="AE91" s="488"/>
      <c r="AF91" s="488"/>
      <c r="AG91" s="489"/>
      <c r="AH91" s="51"/>
    </row>
    <row r="92" spans="1:34" ht="15.75" thickBot="1" x14ac:dyDescent="0.3">
      <c r="A92" s="50"/>
      <c r="B92" s="50"/>
      <c r="C92" s="272">
        <f t="shared" si="5"/>
        <v>4</v>
      </c>
      <c r="D92" s="172">
        <f t="shared" si="5"/>
        <v>2</v>
      </c>
      <c r="E92" s="172">
        <f t="shared" si="5"/>
        <v>4</v>
      </c>
      <c r="F92" s="273">
        <f t="shared" si="5"/>
        <v>-3</v>
      </c>
      <c r="G92" s="477"/>
      <c r="H92" s="269" t="str">
        <f t="shared" si="6"/>
        <v>b</v>
      </c>
      <c r="I92" s="483"/>
      <c r="J92" s="269">
        <f t="shared" si="7"/>
        <v>5</v>
      </c>
      <c r="P92" s="51"/>
      <c r="S92" s="50"/>
      <c r="AH92" s="51"/>
    </row>
    <row r="93" spans="1:34" ht="15.75" x14ac:dyDescent="0.25">
      <c r="A93" s="50"/>
      <c r="B93" s="50"/>
      <c r="C93" s="272">
        <f t="shared" si="5"/>
        <v>-3</v>
      </c>
      <c r="D93" s="172">
        <f t="shared" si="5"/>
        <v>-3</v>
      </c>
      <c r="E93" s="172">
        <f t="shared" si="5"/>
        <v>8</v>
      </c>
      <c r="F93" s="273">
        <f t="shared" si="5"/>
        <v>-2</v>
      </c>
      <c r="G93" s="477"/>
      <c r="H93" s="269" t="str">
        <f t="shared" si="6"/>
        <v>c</v>
      </c>
      <c r="I93" s="483"/>
      <c r="J93" s="269">
        <f t="shared" si="7"/>
        <v>7</v>
      </c>
      <c r="K93" s="257"/>
      <c r="L93" s="257"/>
      <c r="M93" s="257"/>
      <c r="N93" s="257"/>
      <c r="P93" s="51"/>
      <c r="S93" s="50"/>
      <c r="T93" s="124" t="s">
        <v>73</v>
      </c>
      <c r="U93" s="53">
        <v>0</v>
      </c>
      <c r="V93" s="53">
        <v>0</v>
      </c>
      <c r="W93" s="103">
        <v>0</v>
      </c>
      <c r="X93" s="477" t="s">
        <v>30</v>
      </c>
      <c r="Y93" s="124" t="s">
        <v>79</v>
      </c>
      <c r="Z93" s="53" t="s">
        <v>80</v>
      </c>
      <c r="AA93" s="53" t="s">
        <v>81</v>
      </c>
      <c r="AB93" s="103" t="s">
        <v>315</v>
      </c>
      <c r="AC93" s="483" t="s">
        <v>32</v>
      </c>
      <c r="AD93" s="124" t="str">
        <f>T93&amp;Y93</f>
        <v>L11U11</v>
      </c>
      <c r="AE93" s="53" t="str">
        <f>T93&amp;Z93</f>
        <v>L11U12</v>
      </c>
      <c r="AF93" s="53" t="str">
        <f>T93&amp;AA93</f>
        <v>L11U13</v>
      </c>
      <c r="AG93" s="103" t="str">
        <f>T93&amp;AB93</f>
        <v>L11U14</v>
      </c>
      <c r="AH93" s="51"/>
    </row>
    <row r="94" spans="1:34" ht="16.5" thickBot="1" x14ac:dyDescent="0.3">
      <c r="A94" s="50"/>
      <c r="B94" s="50"/>
      <c r="C94" s="279">
        <f t="shared" si="5"/>
        <v>-1</v>
      </c>
      <c r="D94" s="275">
        <f t="shared" si="5"/>
        <v>1</v>
      </c>
      <c r="E94" s="275">
        <f t="shared" si="5"/>
        <v>6</v>
      </c>
      <c r="F94" s="277">
        <f t="shared" si="5"/>
        <v>-3</v>
      </c>
      <c r="G94" s="477"/>
      <c r="H94" s="271" t="str">
        <f t="shared" si="6"/>
        <v>d</v>
      </c>
      <c r="I94" s="483"/>
      <c r="J94" s="271">
        <f t="shared" si="7"/>
        <v>7</v>
      </c>
      <c r="K94" s="257"/>
      <c r="L94" s="257"/>
      <c r="M94" s="257"/>
      <c r="N94" s="257"/>
      <c r="P94" s="51"/>
      <c r="S94" s="50"/>
      <c r="T94" s="98" t="s">
        <v>74</v>
      </c>
      <c r="U94" s="2" t="s">
        <v>76</v>
      </c>
      <c r="V94" s="2">
        <v>0</v>
      </c>
      <c r="W94" s="99">
        <v>0</v>
      </c>
      <c r="X94" s="477"/>
      <c r="Y94" s="98">
        <v>0</v>
      </c>
      <c r="Z94" s="2" t="s">
        <v>82</v>
      </c>
      <c r="AA94" s="2" t="s">
        <v>83</v>
      </c>
      <c r="AB94" s="99" t="s">
        <v>316</v>
      </c>
      <c r="AC94" s="483"/>
      <c r="AD94" s="98" t="str">
        <f>T94&amp;Y93</f>
        <v>L21U11</v>
      </c>
      <c r="AE94" s="2" t="str">
        <f>(T94&amp;Z93) &amp; "+" &amp; (U94&amp;Z94)</f>
        <v>L21U12+L22U22</v>
      </c>
      <c r="AF94" s="2" t="s">
        <v>319</v>
      </c>
      <c r="AG94" s="99" t="s">
        <v>320</v>
      </c>
      <c r="AH94" s="51"/>
    </row>
    <row r="95" spans="1:34" ht="15.75" x14ac:dyDescent="0.25">
      <c r="A95" s="50"/>
      <c r="B95" s="50"/>
      <c r="K95" s="257"/>
      <c r="L95" s="257"/>
      <c r="M95" s="257"/>
      <c r="N95" s="257"/>
      <c r="P95" s="51"/>
      <c r="S95" s="50"/>
      <c r="T95" s="98" t="s">
        <v>75</v>
      </c>
      <c r="U95" s="2" t="s">
        <v>77</v>
      </c>
      <c r="V95" s="2" t="s">
        <v>78</v>
      </c>
      <c r="W95" s="99">
        <v>0</v>
      </c>
      <c r="X95" s="477"/>
      <c r="Y95" s="98">
        <v>0</v>
      </c>
      <c r="Z95" s="2">
        <v>0</v>
      </c>
      <c r="AA95" s="2" t="s">
        <v>84</v>
      </c>
      <c r="AB95" s="99" t="s">
        <v>317</v>
      </c>
      <c r="AC95" s="483"/>
      <c r="AD95" s="98" t="s">
        <v>87</v>
      </c>
      <c r="AE95" s="2" t="s">
        <v>321</v>
      </c>
      <c r="AF95" s="2" t="s">
        <v>322</v>
      </c>
      <c r="AG95" s="99" t="s">
        <v>323</v>
      </c>
      <c r="AH95" s="51"/>
    </row>
    <row r="96" spans="1:34" ht="16.5" thickBot="1" x14ac:dyDescent="0.3">
      <c r="A96" s="50"/>
      <c r="B96" s="50"/>
      <c r="K96" s="257"/>
      <c r="L96" s="257"/>
      <c r="M96" s="257"/>
      <c r="N96" s="257"/>
      <c r="O96" s="206"/>
      <c r="P96" s="51"/>
      <c r="S96" s="50"/>
      <c r="T96" s="100" t="s">
        <v>311</v>
      </c>
      <c r="U96" s="101" t="s">
        <v>312</v>
      </c>
      <c r="V96" s="101" t="s">
        <v>313</v>
      </c>
      <c r="W96" s="102" t="s">
        <v>314</v>
      </c>
      <c r="X96" s="477"/>
      <c r="Y96" s="100">
        <v>0</v>
      </c>
      <c r="Z96" s="101">
        <v>0</v>
      </c>
      <c r="AA96" s="101">
        <v>0</v>
      </c>
      <c r="AB96" s="102" t="s">
        <v>318</v>
      </c>
      <c r="AC96" s="483"/>
      <c r="AD96" s="100" t="s">
        <v>324</v>
      </c>
      <c r="AE96" s="101" t="s">
        <v>325</v>
      </c>
      <c r="AF96" s="101" t="s">
        <v>326</v>
      </c>
      <c r="AG96" s="102" t="s">
        <v>327</v>
      </c>
      <c r="AH96" s="51"/>
    </row>
    <row r="97" spans="1:34" ht="15.75" x14ac:dyDescent="0.25">
      <c r="A97" s="50"/>
      <c r="B97" s="50"/>
      <c r="D97" s="3" t="s">
        <v>259</v>
      </c>
      <c r="E97" s="206"/>
      <c r="F97" s="206"/>
      <c r="K97" s="257"/>
      <c r="L97" s="257"/>
      <c r="M97" s="257"/>
      <c r="N97" s="257"/>
      <c r="P97" s="51"/>
      <c r="S97" s="50"/>
      <c r="AH97" s="51"/>
    </row>
    <row r="98" spans="1:34" ht="15.75" x14ac:dyDescent="0.25">
      <c r="A98" s="50"/>
      <c r="B98" s="50"/>
      <c r="K98" s="257"/>
      <c r="L98" s="257"/>
      <c r="M98" s="257"/>
      <c r="N98" s="257"/>
      <c r="P98" s="51"/>
      <c r="S98" s="50"/>
      <c r="AH98" s="51"/>
    </row>
    <row r="99" spans="1:34" ht="15.75" thickBot="1" x14ac:dyDescent="0.3">
      <c r="A99" s="50"/>
      <c r="B99" s="50"/>
      <c r="P99" s="51"/>
      <c r="S99" s="52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40"/>
    </row>
    <row r="100" spans="1:34" x14ac:dyDescent="0.25">
      <c r="A100" s="50"/>
      <c r="B100" s="50"/>
      <c r="C100" s="484" t="s">
        <v>255</v>
      </c>
      <c r="D100" s="479"/>
      <c r="E100" s="479"/>
      <c r="F100" s="479"/>
      <c r="G100" s="479" t="s">
        <v>36</v>
      </c>
      <c r="H100" s="479" t="s">
        <v>256</v>
      </c>
      <c r="I100" s="479"/>
      <c r="J100" s="479"/>
      <c r="K100" s="479"/>
      <c r="L100" s="479" t="s">
        <v>36</v>
      </c>
      <c r="M100" s="479" t="s">
        <v>30</v>
      </c>
      <c r="N100" s="479" t="s">
        <v>32</v>
      </c>
      <c r="O100" s="481" t="s">
        <v>35</v>
      </c>
      <c r="P100" s="51"/>
      <c r="AH100" s="51"/>
    </row>
    <row r="101" spans="1:34" ht="15.75" thickBot="1" x14ac:dyDescent="0.3">
      <c r="A101" s="50"/>
      <c r="B101" s="50"/>
      <c r="C101" s="485"/>
      <c r="D101" s="480"/>
      <c r="E101" s="480"/>
      <c r="F101" s="480"/>
      <c r="G101" s="480"/>
      <c r="H101" s="480"/>
      <c r="I101" s="480"/>
      <c r="J101" s="480"/>
      <c r="K101" s="480"/>
      <c r="L101" s="480"/>
      <c r="M101" s="480"/>
      <c r="N101" s="480"/>
      <c r="O101" s="482"/>
      <c r="P101" s="51"/>
      <c r="AH101" s="51"/>
    </row>
    <row r="102" spans="1:34" ht="15.75" thickBot="1" x14ac:dyDescent="0.3">
      <c r="A102" s="50"/>
      <c r="B102" s="50"/>
      <c r="C102" s="124" t="s">
        <v>73</v>
      </c>
      <c r="D102" s="53">
        <v>0</v>
      </c>
      <c r="E102" s="53">
        <v>0</v>
      </c>
      <c r="F102" s="103">
        <v>0</v>
      </c>
      <c r="G102" s="476" t="s">
        <v>30</v>
      </c>
      <c r="H102" s="124" t="s">
        <v>79</v>
      </c>
      <c r="I102" s="53" t="s">
        <v>80</v>
      </c>
      <c r="J102" s="53" t="s">
        <v>81</v>
      </c>
      <c r="K102" s="103" t="s">
        <v>315</v>
      </c>
      <c r="L102" s="476" t="s">
        <v>30</v>
      </c>
      <c r="M102" s="126" t="str">
        <f>H91</f>
        <v>a</v>
      </c>
      <c r="N102" s="496" t="s">
        <v>32</v>
      </c>
      <c r="O102" s="126">
        <f>J91</f>
        <v>-4</v>
      </c>
      <c r="P102" s="51"/>
      <c r="AH102" s="51"/>
    </row>
    <row r="103" spans="1:34" x14ac:dyDescent="0.25">
      <c r="A103" s="50"/>
      <c r="B103" s="50"/>
      <c r="C103" s="98" t="s">
        <v>74</v>
      </c>
      <c r="D103" s="2" t="s">
        <v>76</v>
      </c>
      <c r="E103" s="2">
        <v>0</v>
      </c>
      <c r="F103" s="99">
        <v>0</v>
      </c>
      <c r="G103" s="477"/>
      <c r="H103" s="98">
        <v>0</v>
      </c>
      <c r="I103" s="2" t="s">
        <v>82</v>
      </c>
      <c r="J103" s="2" t="s">
        <v>83</v>
      </c>
      <c r="K103" s="99" t="s">
        <v>316</v>
      </c>
      <c r="L103" s="477"/>
      <c r="M103" s="127" t="str">
        <f>H92</f>
        <v>b</v>
      </c>
      <c r="N103" s="483"/>
      <c r="O103" s="127">
        <f>J92</f>
        <v>5</v>
      </c>
      <c r="P103" s="51"/>
      <c r="S103" s="522" t="s">
        <v>120</v>
      </c>
      <c r="T103" s="523"/>
      <c r="U103" s="523"/>
      <c r="V103" s="523"/>
      <c r="W103" s="523"/>
      <c r="X103" s="523"/>
      <c r="Y103" s="523"/>
      <c r="Z103" s="523"/>
      <c r="AA103" s="523"/>
      <c r="AB103" s="523"/>
      <c r="AC103" s="523"/>
      <c r="AD103" s="523"/>
      <c r="AE103" s="523"/>
      <c r="AF103" s="523"/>
      <c r="AG103" s="523"/>
      <c r="AH103" s="524"/>
    </row>
    <row r="104" spans="1:34" ht="15.75" thickBot="1" x14ac:dyDescent="0.3">
      <c r="A104" s="50"/>
      <c r="B104" s="50"/>
      <c r="C104" s="98" t="s">
        <v>75</v>
      </c>
      <c r="D104" s="2" t="s">
        <v>77</v>
      </c>
      <c r="E104" s="2" t="s">
        <v>78</v>
      </c>
      <c r="F104" s="99">
        <v>0</v>
      </c>
      <c r="G104" s="477"/>
      <c r="H104" s="98">
        <v>0</v>
      </c>
      <c r="I104" s="2">
        <v>0</v>
      </c>
      <c r="J104" s="2" t="s">
        <v>84</v>
      </c>
      <c r="K104" s="99" t="s">
        <v>317</v>
      </c>
      <c r="L104" s="477"/>
      <c r="M104" s="127" t="str">
        <f>H93</f>
        <v>c</v>
      </c>
      <c r="N104" s="483"/>
      <c r="O104" s="127">
        <f>J93</f>
        <v>7</v>
      </c>
      <c r="P104" s="51"/>
      <c r="S104" s="525"/>
      <c r="T104" s="526"/>
      <c r="U104" s="526"/>
      <c r="V104" s="526"/>
      <c r="W104" s="526"/>
      <c r="X104" s="526"/>
      <c r="Y104" s="526"/>
      <c r="Z104" s="526"/>
      <c r="AA104" s="526"/>
      <c r="AB104" s="526"/>
      <c r="AC104" s="526"/>
      <c r="AD104" s="526"/>
      <c r="AE104" s="526"/>
      <c r="AF104" s="526"/>
      <c r="AG104" s="526"/>
      <c r="AH104" s="527"/>
    </row>
    <row r="105" spans="1:34" ht="15.75" thickBot="1" x14ac:dyDescent="0.3">
      <c r="A105" s="50"/>
      <c r="B105" s="50"/>
      <c r="C105" s="100" t="s">
        <v>311</v>
      </c>
      <c r="D105" s="101" t="s">
        <v>312</v>
      </c>
      <c r="E105" s="101" t="s">
        <v>313</v>
      </c>
      <c r="F105" s="102" t="s">
        <v>314</v>
      </c>
      <c r="G105" s="478"/>
      <c r="H105" s="100">
        <v>0</v>
      </c>
      <c r="I105" s="101">
        <v>0</v>
      </c>
      <c r="J105" s="101">
        <v>0</v>
      </c>
      <c r="K105" s="102" t="s">
        <v>318</v>
      </c>
      <c r="L105" s="478"/>
      <c r="M105" s="128" t="str">
        <f>H94</f>
        <v>d</v>
      </c>
      <c r="N105" s="497"/>
      <c r="O105" s="128">
        <f>J94</f>
        <v>7</v>
      </c>
      <c r="P105" s="51"/>
      <c r="S105" s="50"/>
      <c r="AH105" s="51"/>
    </row>
    <row r="106" spans="1:34" ht="16.5" thickBot="1" x14ac:dyDescent="0.3">
      <c r="A106" s="50"/>
      <c r="B106" s="50"/>
      <c r="P106" s="51"/>
      <c r="S106" s="50"/>
      <c r="V106" s="505" t="s">
        <v>137</v>
      </c>
      <c r="W106" s="506"/>
      <c r="X106" s="506"/>
      <c r="Y106" s="506"/>
      <c r="Z106" s="506"/>
      <c r="AA106" s="506"/>
      <c r="AB106" s="506"/>
      <c r="AC106" s="507"/>
      <c r="AH106" s="51"/>
    </row>
    <row r="107" spans="1:34" ht="15.75" thickBot="1" x14ac:dyDescent="0.3">
      <c r="A107" s="50"/>
      <c r="B107" s="50"/>
      <c r="P107" s="51"/>
      <c r="S107" s="50"/>
      <c r="V107" s="514" t="s">
        <v>308</v>
      </c>
      <c r="W107" s="515"/>
      <c r="X107" s="515"/>
      <c r="Y107" s="515"/>
      <c r="Z107" s="515"/>
      <c r="AA107" s="515"/>
      <c r="AB107" s="515"/>
      <c r="AC107" s="516"/>
      <c r="AH107" s="51"/>
    </row>
    <row r="108" spans="1:34" ht="15.75" thickBot="1" x14ac:dyDescent="0.3">
      <c r="A108" s="50"/>
      <c r="B108" s="52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40"/>
      <c r="S108" s="50"/>
      <c r="AH108" s="51"/>
    </row>
    <row r="109" spans="1:34" ht="15.75" thickBot="1" x14ac:dyDescent="0.3">
      <c r="A109" s="50"/>
      <c r="S109" s="50"/>
      <c r="V109" s="69" t="s">
        <v>100</v>
      </c>
      <c r="W109" s="70">
        <v>1</v>
      </c>
      <c r="X109" s="2"/>
      <c r="Y109" s="69" t="s">
        <v>105</v>
      </c>
      <c r="Z109" s="70">
        <v>1</v>
      </c>
      <c r="AA109" s="2"/>
      <c r="AH109" s="51"/>
    </row>
    <row r="110" spans="1:34" ht="15.75" thickBot="1" x14ac:dyDescent="0.3">
      <c r="A110" s="50"/>
      <c r="S110" s="50"/>
      <c r="V110" s="2"/>
      <c r="W110" s="2"/>
      <c r="Y110" s="2"/>
      <c r="Z110" s="2"/>
      <c r="AH110" s="51"/>
    </row>
    <row r="111" spans="1:34" ht="15.75" thickBot="1" x14ac:dyDescent="0.3">
      <c r="A111" s="50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/>
      <c r="S111" s="50"/>
      <c r="V111" s="69" t="s">
        <v>133</v>
      </c>
      <c r="W111" s="70">
        <v>1</v>
      </c>
      <c r="Y111" s="69" t="s">
        <v>368</v>
      </c>
      <c r="Z111" s="70">
        <v>1</v>
      </c>
      <c r="AH111" s="51"/>
    </row>
    <row r="112" spans="1:34" x14ac:dyDescent="0.25">
      <c r="A112" s="50"/>
      <c r="B112" s="50"/>
      <c r="C112" s="484" t="s">
        <v>255</v>
      </c>
      <c r="D112" s="479"/>
      <c r="E112" s="479"/>
      <c r="F112" s="479"/>
      <c r="G112" s="479" t="s">
        <v>36</v>
      </c>
      <c r="H112" s="479" t="s">
        <v>256</v>
      </c>
      <c r="I112" s="479"/>
      <c r="J112" s="479"/>
      <c r="K112" s="479"/>
      <c r="L112" s="479" t="s">
        <v>36</v>
      </c>
      <c r="M112" s="479" t="s">
        <v>30</v>
      </c>
      <c r="N112" s="479" t="s">
        <v>32</v>
      </c>
      <c r="O112" s="481" t="s">
        <v>35</v>
      </c>
      <c r="P112" s="51"/>
      <c r="S112" s="50"/>
      <c r="V112" s="2"/>
      <c r="W112" s="2"/>
      <c r="AH112" s="51"/>
    </row>
    <row r="113" spans="1:34" ht="15.75" thickBot="1" x14ac:dyDescent="0.3">
      <c r="A113" s="50"/>
      <c r="B113" s="50"/>
      <c r="C113" s="485"/>
      <c r="D113" s="480"/>
      <c r="E113" s="480"/>
      <c r="F113" s="480"/>
      <c r="G113" s="480"/>
      <c r="H113" s="480"/>
      <c r="I113" s="480"/>
      <c r="J113" s="480"/>
      <c r="K113" s="480"/>
      <c r="L113" s="480"/>
      <c r="M113" s="480"/>
      <c r="N113" s="480"/>
      <c r="O113" s="482"/>
      <c r="P113" s="51"/>
      <c r="S113" s="50"/>
      <c r="AH113" s="51"/>
    </row>
    <row r="114" spans="1:34" x14ac:dyDescent="0.25">
      <c r="A114" s="50"/>
      <c r="B114" s="50"/>
      <c r="C114" s="124">
        <f>X147</f>
        <v>2</v>
      </c>
      <c r="D114" s="53">
        <f>D102</f>
        <v>0</v>
      </c>
      <c r="E114" s="53">
        <f>E102</f>
        <v>0</v>
      </c>
      <c r="F114" s="103">
        <f>F102</f>
        <v>0</v>
      </c>
      <c r="G114" s="501" t="s">
        <v>30</v>
      </c>
      <c r="H114" s="124">
        <f>U135</f>
        <v>1</v>
      </c>
      <c r="I114" s="53">
        <f>U137</f>
        <v>2</v>
      </c>
      <c r="J114" s="53">
        <f>U140</f>
        <v>-1</v>
      </c>
      <c r="K114" s="103">
        <f>U144</f>
        <v>-1</v>
      </c>
      <c r="L114" s="501" t="s">
        <v>30</v>
      </c>
      <c r="M114" s="126" t="str">
        <f>M102</f>
        <v>a</v>
      </c>
      <c r="N114" s="502" t="s">
        <v>32</v>
      </c>
      <c r="O114" s="126">
        <f>O102</f>
        <v>-4</v>
      </c>
      <c r="P114" s="51"/>
      <c r="S114" s="50"/>
      <c r="AH114" s="51"/>
    </row>
    <row r="115" spans="1:34" ht="15.75" thickBot="1" x14ac:dyDescent="0.3">
      <c r="A115" s="50"/>
      <c r="B115" s="50"/>
      <c r="C115" s="98">
        <f>X146</f>
        <v>4</v>
      </c>
      <c r="D115" s="2">
        <f>X142</f>
        <v>-6</v>
      </c>
      <c r="E115" s="2">
        <f>E103</f>
        <v>0</v>
      </c>
      <c r="F115" s="99">
        <f>F103</f>
        <v>0</v>
      </c>
      <c r="G115" s="501"/>
      <c r="H115" s="98">
        <f>H103</f>
        <v>0</v>
      </c>
      <c r="I115" s="2">
        <f>U138</f>
        <v>1</v>
      </c>
      <c r="J115" s="2">
        <f>U141</f>
        <v>-1.3333333333333333</v>
      </c>
      <c r="K115" s="99">
        <f>U145</f>
        <v>-0.16666666666666666</v>
      </c>
      <c r="L115" s="501"/>
      <c r="M115" s="127" t="str">
        <f>M103</f>
        <v>b</v>
      </c>
      <c r="N115" s="502"/>
      <c r="O115" s="127">
        <f>O103</f>
        <v>5</v>
      </c>
      <c r="P115" s="51"/>
      <c r="S115" s="50"/>
      <c r="AH115" s="51"/>
    </row>
    <row r="116" spans="1:34" x14ac:dyDescent="0.25">
      <c r="A116" s="50"/>
      <c r="B116" s="50"/>
      <c r="C116" s="98">
        <f>X145</f>
        <v>-3</v>
      </c>
      <c r="D116" s="2">
        <f>X141</f>
        <v>3</v>
      </c>
      <c r="E116" s="2">
        <f>X138</f>
        <v>9</v>
      </c>
      <c r="F116" s="99">
        <f>F104</f>
        <v>0</v>
      </c>
      <c r="G116" s="501"/>
      <c r="H116" s="98">
        <f>H104</f>
        <v>0</v>
      </c>
      <c r="I116" s="2">
        <f>I104</f>
        <v>0</v>
      </c>
      <c r="J116" s="2">
        <f>U142</f>
        <v>1</v>
      </c>
      <c r="K116" s="99">
        <f>U146</f>
        <v>-0.5</v>
      </c>
      <c r="L116" s="501"/>
      <c r="M116" s="127" t="str">
        <f>M104</f>
        <v>c</v>
      </c>
      <c r="N116" s="502"/>
      <c r="O116" s="127">
        <f>O104</f>
        <v>7</v>
      </c>
      <c r="P116" s="51"/>
      <c r="S116" s="50"/>
      <c r="T116" s="498" t="s">
        <v>71</v>
      </c>
      <c r="U116" s="486"/>
      <c r="V116" s="486"/>
      <c r="W116" s="486"/>
      <c r="X116" s="486" t="s">
        <v>36</v>
      </c>
      <c r="Y116" s="486" t="s">
        <v>72</v>
      </c>
      <c r="Z116" s="486"/>
      <c r="AA116" s="486"/>
      <c r="AB116" s="486"/>
      <c r="AC116" s="486" t="s">
        <v>32</v>
      </c>
      <c r="AD116" s="486" t="s">
        <v>70</v>
      </c>
      <c r="AE116" s="486"/>
      <c r="AF116" s="486"/>
      <c r="AG116" s="487"/>
      <c r="AH116" s="51"/>
    </row>
    <row r="117" spans="1:34" ht="15.75" thickBot="1" x14ac:dyDescent="0.3">
      <c r="A117" s="50"/>
      <c r="B117" s="50"/>
      <c r="C117" s="100">
        <f>X144</f>
        <v>-1</v>
      </c>
      <c r="D117" s="101">
        <f>X140</f>
        <v>3</v>
      </c>
      <c r="E117" s="101">
        <f>X137</f>
        <v>9</v>
      </c>
      <c r="F117" s="102">
        <f>X135</f>
        <v>1</v>
      </c>
      <c r="G117" s="501"/>
      <c r="H117" s="100">
        <f>H105</f>
        <v>0</v>
      </c>
      <c r="I117" s="101">
        <f>I105</f>
        <v>0</v>
      </c>
      <c r="J117" s="101">
        <f>J105</f>
        <v>0</v>
      </c>
      <c r="K117" s="102">
        <f>U147</f>
        <v>1</v>
      </c>
      <c r="L117" s="501"/>
      <c r="M117" s="128" t="str">
        <f>M105</f>
        <v>d</v>
      </c>
      <c r="N117" s="502"/>
      <c r="O117" s="128">
        <f>O105</f>
        <v>7</v>
      </c>
      <c r="P117" s="51"/>
      <c r="S117" s="50"/>
      <c r="T117" s="499"/>
      <c r="U117" s="488"/>
      <c r="V117" s="488"/>
      <c r="W117" s="488"/>
      <c r="X117" s="488"/>
      <c r="Y117" s="488"/>
      <c r="Z117" s="488"/>
      <c r="AA117" s="488"/>
      <c r="AB117" s="488"/>
      <c r="AC117" s="488"/>
      <c r="AD117" s="488"/>
      <c r="AE117" s="488"/>
      <c r="AF117" s="488"/>
      <c r="AG117" s="489"/>
      <c r="AH117" s="51"/>
    </row>
    <row r="118" spans="1:34" x14ac:dyDescent="0.25">
      <c r="A118" s="50"/>
      <c r="B118" s="50"/>
      <c r="P118" s="51"/>
      <c r="S118" s="50"/>
      <c r="T118" s="124" t="s">
        <v>73</v>
      </c>
      <c r="U118" s="53">
        <v>0</v>
      </c>
      <c r="V118" s="53">
        <v>0</v>
      </c>
      <c r="W118" s="103">
        <v>0</v>
      </c>
      <c r="X118" s="501" t="s">
        <v>30</v>
      </c>
      <c r="Y118" s="124">
        <v>1</v>
      </c>
      <c r="Z118" s="53" t="s">
        <v>80</v>
      </c>
      <c r="AA118" s="53" t="s">
        <v>81</v>
      </c>
      <c r="AB118" s="103" t="s">
        <v>315</v>
      </c>
      <c r="AC118" s="502" t="s">
        <v>32</v>
      </c>
      <c r="AD118" s="124" t="s">
        <v>73</v>
      </c>
      <c r="AE118" s="53" t="s">
        <v>88</v>
      </c>
      <c r="AF118" s="53" t="s">
        <v>89</v>
      </c>
      <c r="AG118" s="103" t="s">
        <v>369</v>
      </c>
      <c r="AH118" s="51"/>
    </row>
    <row r="119" spans="1:34" x14ac:dyDescent="0.25">
      <c r="A119" s="50"/>
      <c r="B119" s="50"/>
      <c r="P119" s="51"/>
      <c r="S119" s="50"/>
      <c r="T119" s="98" t="s">
        <v>74</v>
      </c>
      <c r="U119" s="2" t="s">
        <v>76</v>
      </c>
      <c r="V119" s="2">
        <v>0</v>
      </c>
      <c r="W119" s="99">
        <v>0</v>
      </c>
      <c r="X119" s="501"/>
      <c r="Y119" s="98">
        <v>0</v>
      </c>
      <c r="Z119" s="2">
        <v>1</v>
      </c>
      <c r="AA119" s="2" t="s">
        <v>83</v>
      </c>
      <c r="AB119" s="99" t="s">
        <v>316</v>
      </c>
      <c r="AC119" s="502"/>
      <c r="AD119" s="98" t="s">
        <v>74</v>
      </c>
      <c r="AE119" s="2" t="s">
        <v>134</v>
      </c>
      <c r="AF119" s="2" t="s">
        <v>319</v>
      </c>
      <c r="AG119" s="99" t="s">
        <v>320</v>
      </c>
      <c r="AH119" s="51"/>
    </row>
    <row r="120" spans="1:34" x14ac:dyDescent="0.25">
      <c r="A120" s="50"/>
      <c r="B120" s="50"/>
      <c r="P120" s="51"/>
      <c r="S120" s="50"/>
      <c r="T120" s="98" t="s">
        <v>75</v>
      </c>
      <c r="U120" s="2" t="s">
        <v>77</v>
      </c>
      <c r="V120" s="2" t="s">
        <v>78</v>
      </c>
      <c r="W120" s="99">
        <v>0</v>
      </c>
      <c r="X120" s="501"/>
      <c r="Y120" s="98">
        <v>0</v>
      </c>
      <c r="Z120" s="2">
        <v>0</v>
      </c>
      <c r="AA120" s="2">
        <v>1</v>
      </c>
      <c r="AB120" s="99" t="s">
        <v>317</v>
      </c>
      <c r="AC120" s="502"/>
      <c r="AD120" s="98" t="s">
        <v>75</v>
      </c>
      <c r="AE120" s="2" t="s">
        <v>370</v>
      </c>
      <c r="AF120" s="2" t="s">
        <v>374</v>
      </c>
      <c r="AG120" s="99" t="s">
        <v>323</v>
      </c>
      <c r="AH120" s="51"/>
    </row>
    <row r="121" spans="1:34" ht="15.75" thickBot="1" x14ac:dyDescent="0.3">
      <c r="A121" s="50"/>
      <c r="B121" s="50"/>
      <c r="P121" s="51"/>
      <c r="S121" s="50"/>
      <c r="T121" s="100" t="s">
        <v>311</v>
      </c>
      <c r="U121" s="101" t="s">
        <v>312</v>
      </c>
      <c r="V121" s="101" t="s">
        <v>313</v>
      </c>
      <c r="W121" s="102" t="s">
        <v>314</v>
      </c>
      <c r="X121" s="501"/>
      <c r="Y121" s="100">
        <v>0</v>
      </c>
      <c r="Z121" s="101">
        <v>0</v>
      </c>
      <c r="AA121" s="101">
        <v>0</v>
      </c>
      <c r="AB121" s="102">
        <v>1</v>
      </c>
      <c r="AC121" s="502"/>
      <c r="AD121" s="100" t="s">
        <v>311</v>
      </c>
      <c r="AE121" s="101" t="s">
        <v>371</v>
      </c>
      <c r="AF121" s="101" t="s">
        <v>372</v>
      </c>
      <c r="AG121" s="102" t="s">
        <v>373</v>
      </c>
      <c r="AH121" s="51"/>
    </row>
    <row r="122" spans="1:34" x14ac:dyDescent="0.25">
      <c r="A122" s="50"/>
      <c r="B122" s="50"/>
      <c r="J122" s="36" t="s">
        <v>119</v>
      </c>
      <c r="K122" s="36" t="s">
        <v>115</v>
      </c>
      <c r="P122" s="51"/>
      <c r="S122" s="50"/>
      <c r="AH122" s="51"/>
    </row>
    <row r="123" spans="1:34" x14ac:dyDescent="0.25">
      <c r="A123" s="50"/>
      <c r="B123" s="50"/>
      <c r="P123" s="51"/>
      <c r="S123" s="50"/>
      <c r="AH123" s="51"/>
    </row>
    <row r="124" spans="1:34" ht="16.5" thickBot="1" x14ac:dyDescent="0.3">
      <c r="A124" s="50"/>
      <c r="B124" s="50"/>
      <c r="P124" s="51"/>
      <c r="S124" s="50"/>
      <c r="T124" s="518" t="s">
        <v>262</v>
      </c>
      <c r="U124" s="518"/>
      <c r="V124" s="518"/>
      <c r="W124" s="518"/>
      <c r="AH124" s="51"/>
    </row>
    <row r="125" spans="1:34" ht="15.75" thickBot="1" x14ac:dyDescent="0.3">
      <c r="A125" s="50"/>
      <c r="B125" s="50"/>
      <c r="F125" s="484" t="s">
        <v>71</v>
      </c>
      <c r="G125" s="479"/>
      <c r="H125" s="479"/>
      <c r="I125" s="479"/>
      <c r="J125" s="503" t="s">
        <v>30</v>
      </c>
      <c r="K125" s="479" t="s">
        <v>114</v>
      </c>
      <c r="L125" s="503" t="s">
        <v>32</v>
      </c>
      <c r="M125" s="481" t="s">
        <v>35</v>
      </c>
      <c r="P125" s="51"/>
      <c r="S125" s="50"/>
      <c r="AH125" s="51"/>
    </row>
    <row r="126" spans="1:34" ht="15.75" thickBot="1" x14ac:dyDescent="0.3">
      <c r="A126" s="50"/>
      <c r="B126" s="50"/>
      <c r="F126" s="485"/>
      <c r="G126" s="480"/>
      <c r="H126" s="480"/>
      <c r="I126" s="480"/>
      <c r="J126" s="504"/>
      <c r="K126" s="480"/>
      <c r="L126" s="504"/>
      <c r="M126" s="482"/>
      <c r="P126" s="51"/>
      <c r="S126" s="50"/>
      <c r="X126" s="124">
        <f t="shared" ref="X126:AA129" si="8">C91</f>
        <v>2</v>
      </c>
      <c r="Y126" s="53">
        <f t="shared" si="8"/>
        <v>4</v>
      </c>
      <c r="Z126" s="53">
        <f t="shared" si="8"/>
        <v>-2</v>
      </c>
      <c r="AA126" s="103">
        <f t="shared" si="8"/>
        <v>-2</v>
      </c>
      <c r="AB126" s="517" t="s">
        <v>32</v>
      </c>
      <c r="AC126" s="502"/>
      <c r="AD126" s="124" t="str">
        <f t="shared" ref="AD126:AG129" si="9">AD118</f>
        <v>L11</v>
      </c>
      <c r="AE126" s="53" t="str">
        <f t="shared" si="9"/>
        <v>L11U12</v>
      </c>
      <c r="AF126" s="53" t="str">
        <f t="shared" si="9"/>
        <v>L11U13</v>
      </c>
      <c r="AG126" s="103" t="str">
        <f t="shared" si="9"/>
        <v>L11U14</v>
      </c>
      <c r="AH126" s="51"/>
    </row>
    <row r="127" spans="1:34" ht="15.75" thickBot="1" x14ac:dyDescent="0.3">
      <c r="A127" s="50"/>
      <c r="B127" s="50"/>
      <c r="G127" s="2"/>
      <c r="H127" s="2"/>
      <c r="I127" s="2"/>
      <c r="J127" s="2"/>
      <c r="K127" s="2"/>
      <c r="L127" s="2"/>
      <c r="M127" s="2"/>
      <c r="P127" s="51"/>
      <c r="S127" s="50"/>
      <c r="T127" s="484" t="s">
        <v>34</v>
      </c>
      <c r="U127" s="479" t="s">
        <v>32</v>
      </c>
      <c r="V127" s="481" t="s">
        <v>70</v>
      </c>
      <c r="X127" s="98">
        <f t="shared" si="8"/>
        <v>4</v>
      </c>
      <c r="Y127" s="2">
        <f t="shared" si="8"/>
        <v>2</v>
      </c>
      <c r="Z127" s="2">
        <f t="shared" si="8"/>
        <v>4</v>
      </c>
      <c r="AA127" s="99">
        <f t="shared" si="8"/>
        <v>-3</v>
      </c>
      <c r="AB127" s="517"/>
      <c r="AC127" s="502"/>
      <c r="AD127" s="98" t="str">
        <f t="shared" si="9"/>
        <v>L21</v>
      </c>
      <c r="AE127" s="2" t="str">
        <f t="shared" si="9"/>
        <v>L21U12+L22</v>
      </c>
      <c r="AF127" s="2" t="str">
        <f t="shared" si="9"/>
        <v>L21U13 + L22U23</v>
      </c>
      <c r="AG127" s="99" t="str">
        <f t="shared" si="9"/>
        <v>L21U14 + L22U24</v>
      </c>
      <c r="AH127" s="51"/>
    </row>
    <row r="128" spans="1:34" x14ac:dyDescent="0.25">
      <c r="A128" s="50"/>
      <c r="B128" s="50"/>
      <c r="F128" s="124">
        <f t="shared" ref="F128:I131" si="10">C114</f>
        <v>2</v>
      </c>
      <c r="G128" s="53">
        <f t="shared" si="10"/>
        <v>0</v>
      </c>
      <c r="H128" s="53">
        <f t="shared" si="10"/>
        <v>0</v>
      </c>
      <c r="I128" s="103">
        <f t="shared" si="10"/>
        <v>0</v>
      </c>
      <c r="J128" s="501" t="s">
        <v>30</v>
      </c>
      <c r="K128" s="126" t="s">
        <v>116</v>
      </c>
      <c r="L128" s="502" t="s">
        <v>32</v>
      </c>
      <c r="M128" s="126">
        <f>O114</f>
        <v>-4</v>
      </c>
      <c r="P128" s="51"/>
      <c r="S128" s="50"/>
      <c r="T128" s="519"/>
      <c r="U128" s="520"/>
      <c r="V128" s="521"/>
      <c r="W128" s="2" t="s">
        <v>103</v>
      </c>
      <c r="X128" s="98">
        <f t="shared" si="8"/>
        <v>-3</v>
      </c>
      <c r="Y128" s="2">
        <f t="shared" si="8"/>
        <v>-3</v>
      </c>
      <c r="Z128" s="2">
        <f t="shared" si="8"/>
        <v>8</v>
      </c>
      <c r="AA128" s="99">
        <f t="shared" si="8"/>
        <v>-2</v>
      </c>
      <c r="AB128" s="517"/>
      <c r="AC128" s="502"/>
      <c r="AD128" s="98" t="str">
        <f t="shared" si="9"/>
        <v>L31</v>
      </c>
      <c r="AE128" s="2" t="str">
        <f t="shared" si="9"/>
        <v>L31U12 + L32</v>
      </c>
      <c r="AF128" s="2" t="str">
        <f t="shared" si="9"/>
        <v>L31U13 + L32U23+ L33</v>
      </c>
      <c r="AG128" s="99" t="str">
        <f t="shared" si="9"/>
        <v>L31U14 + L32U24 + L33U34</v>
      </c>
      <c r="AH128" s="51"/>
    </row>
    <row r="129" spans="1:34" ht="15.75" thickBot="1" x14ac:dyDescent="0.3">
      <c r="A129" s="50"/>
      <c r="B129" s="50"/>
      <c r="F129" s="98">
        <f t="shared" si="10"/>
        <v>4</v>
      </c>
      <c r="G129" s="2">
        <f t="shared" si="10"/>
        <v>-6</v>
      </c>
      <c r="H129" s="2">
        <f t="shared" si="10"/>
        <v>0</v>
      </c>
      <c r="I129" s="99">
        <f t="shared" si="10"/>
        <v>0</v>
      </c>
      <c r="J129" s="501"/>
      <c r="K129" s="127" t="s">
        <v>117</v>
      </c>
      <c r="L129" s="502"/>
      <c r="M129" s="127">
        <f>O115</f>
        <v>5</v>
      </c>
      <c r="P129" s="51"/>
      <c r="S129" s="50"/>
      <c r="T129" s="485"/>
      <c r="U129" s="480"/>
      <c r="V129" s="482"/>
      <c r="X129" s="100">
        <f t="shared" si="8"/>
        <v>-1</v>
      </c>
      <c r="Y129" s="101">
        <f t="shared" si="8"/>
        <v>1</v>
      </c>
      <c r="Z129" s="101">
        <f t="shared" si="8"/>
        <v>6</v>
      </c>
      <c r="AA129" s="102">
        <f t="shared" si="8"/>
        <v>-3</v>
      </c>
      <c r="AB129" s="517"/>
      <c r="AC129" s="502"/>
      <c r="AD129" s="100" t="str">
        <f t="shared" si="9"/>
        <v>L41</v>
      </c>
      <c r="AE129" s="101" t="str">
        <f t="shared" si="9"/>
        <v>L41U12 + L42</v>
      </c>
      <c r="AF129" s="101" t="str">
        <f t="shared" si="9"/>
        <v>L41U13 + L42U23 + L43</v>
      </c>
      <c r="AG129" s="102" t="str">
        <f t="shared" si="9"/>
        <v>L41U14 + L42U24 + L43U34 + L44</v>
      </c>
      <c r="AH129" s="51"/>
    </row>
    <row r="130" spans="1:34" x14ac:dyDescent="0.25">
      <c r="A130" s="50"/>
      <c r="B130" s="50"/>
      <c r="F130" s="98">
        <f t="shared" si="10"/>
        <v>-3</v>
      </c>
      <c r="G130" s="2">
        <f t="shared" si="10"/>
        <v>3</v>
      </c>
      <c r="H130" s="2">
        <f t="shared" si="10"/>
        <v>9</v>
      </c>
      <c r="I130" s="99">
        <f t="shared" si="10"/>
        <v>0</v>
      </c>
      <c r="J130" s="501"/>
      <c r="K130" s="127" t="s">
        <v>118</v>
      </c>
      <c r="L130" s="502"/>
      <c r="M130" s="127">
        <f>O116</f>
        <v>7</v>
      </c>
      <c r="P130" s="51"/>
      <c r="S130" s="50"/>
      <c r="AH130" s="51"/>
    </row>
    <row r="131" spans="1:34" ht="15.75" thickBot="1" x14ac:dyDescent="0.3">
      <c r="A131" s="50"/>
      <c r="B131" s="50"/>
      <c r="F131" s="100">
        <f t="shared" si="10"/>
        <v>-1</v>
      </c>
      <c r="G131" s="101">
        <f t="shared" si="10"/>
        <v>3</v>
      </c>
      <c r="H131" s="101">
        <f t="shared" si="10"/>
        <v>9</v>
      </c>
      <c r="I131" s="102">
        <f t="shared" si="10"/>
        <v>1</v>
      </c>
      <c r="J131" s="501"/>
      <c r="K131" s="128" t="s">
        <v>359</v>
      </c>
      <c r="L131" s="502"/>
      <c r="M131" s="128">
        <f>O117</f>
        <v>7</v>
      </c>
      <c r="P131" s="51"/>
      <c r="S131" s="50"/>
      <c r="AH131" s="51"/>
    </row>
    <row r="132" spans="1:34" x14ac:dyDescent="0.25">
      <c r="A132" s="50"/>
      <c r="B132" s="50"/>
      <c r="P132" s="51"/>
      <c r="S132" s="50"/>
      <c r="AH132" s="51"/>
    </row>
    <row r="133" spans="1:34" ht="15.75" x14ac:dyDescent="0.25">
      <c r="A133" s="50"/>
      <c r="B133" s="50"/>
      <c r="P133" s="51"/>
      <c r="S133" s="50"/>
      <c r="T133" s="285" t="s">
        <v>261</v>
      </c>
      <c r="U133" s="285"/>
      <c r="V133" s="285"/>
      <c r="W133" s="285"/>
      <c r="X133" s="285"/>
      <c r="Z133" s="285"/>
      <c r="AH133" s="51"/>
    </row>
    <row r="134" spans="1:34" ht="15.75" thickBot="1" x14ac:dyDescent="0.3">
      <c r="A134" s="50"/>
      <c r="B134" s="50"/>
      <c r="P134" s="51"/>
      <c r="S134" s="50"/>
      <c r="AH134" s="51"/>
    </row>
    <row r="135" spans="1:34" ht="15.75" thickBot="1" x14ac:dyDescent="0.3">
      <c r="A135" s="50"/>
      <c r="B135" s="50"/>
      <c r="K135" s="500" t="s">
        <v>121</v>
      </c>
      <c r="L135" s="500"/>
      <c r="P135" s="51"/>
      <c r="S135" s="50"/>
      <c r="T135" s="69" t="s">
        <v>100</v>
      </c>
      <c r="U135" s="70">
        <f>Y118</f>
        <v>1</v>
      </c>
      <c r="V135" s="2"/>
      <c r="W135" s="69" t="s">
        <v>338</v>
      </c>
      <c r="X135" s="70">
        <f>AA129-(X144*U144)-(X140*U145)-(X137*U146)</f>
        <v>1</v>
      </c>
      <c r="AH135" s="51"/>
    </row>
    <row r="136" spans="1:34" ht="15.75" thickBot="1" x14ac:dyDescent="0.3">
      <c r="A136" s="50"/>
      <c r="B136" s="50"/>
      <c r="P136" s="51"/>
      <c r="S136" s="50"/>
      <c r="T136" s="2"/>
      <c r="U136" s="2"/>
      <c r="V136" s="2"/>
      <c r="W136" s="2"/>
      <c r="X136" s="2"/>
      <c r="AH136" s="51"/>
    </row>
    <row r="137" spans="1:34" ht="15.75" thickBot="1" x14ac:dyDescent="0.3">
      <c r="A137" s="50"/>
      <c r="B137" s="50"/>
      <c r="I137" s="69" t="s">
        <v>122</v>
      </c>
      <c r="J137" s="70">
        <f>M128/F128</f>
        <v>-2</v>
      </c>
      <c r="P137" s="51"/>
      <c r="S137" s="50"/>
      <c r="T137" s="69" t="s">
        <v>101</v>
      </c>
      <c r="U137" s="70">
        <f>Y126/X147</f>
        <v>2</v>
      </c>
      <c r="V137" s="2"/>
      <c r="W137" s="69" t="s">
        <v>339</v>
      </c>
      <c r="X137" s="70">
        <f>Z129-(X144*U140)-(X140*U141)</f>
        <v>9</v>
      </c>
      <c r="AH137" s="51"/>
    </row>
    <row r="138" spans="1:34" ht="15.75" thickBot="1" x14ac:dyDescent="0.3">
      <c r="A138" s="50"/>
      <c r="B138" s="50"/>
      <c r="I138" s="69" t="s">
        <v>123</v>
      </c>
      <c r="J138" s="70">
        <f>(M129-(F129*J137))/G129</f>
        <v>-2.1666666666666665</v>
      </c>
      <c r="P138" s="51"/>
      <c r="S138" s="50"/>
      <c r="T138" s="69" t="s">
        <v>106</v>
      </c>
      <c r="U138" s="70">
        <f>Z119</f>
        <v>1</v>
      </c>
      <c r="V138" s="2"/>
      <c r="W138" s="17" t="s">
        <v>111</v>
      </c>
      <c r="X138" s="19">
        <f>Z128-(X145*U140)-(X141*U141)</f>
        <v>9</v>
      </c>
      <c r="AH138" s="51"/>
    </row>
    <row r="139" spans="1:34" ht="15.75" thickBot="1" x14ac:dyDescent="0.3">
      <c r="A139" s="50"/>
      <c r="B139" s="50"/>
      <c r="H139" s="2"/>
      <c r="I139" s="69" t="s">
        <v>124</v>
      </c>
      <c r="J139" s="70">
        <f>(M130-(F130*J137)-(G130*J138))/H130</f>
        <v>0.83333333333333337</v>
      </c>
      <c r="P139" s="51"/>
      <c r="S139" s="50"/>
      <c r="T139" s="2"/>
      <c r="U139" s="2"/>
      <c r="V139" s="2"/>
      <c r="W139" s="2"/>
      <c r="X139" s="2"/>
      <c r="AH139" s="51"/>
    </row>
    <row r="140" spans="1:34" ht="15.75" thickBot="1" x14ac:dyDescent="0.3">
      <c r="A140" s="50"/>
      <c r="B140" s="50"/>
      <c r="H140" s="2"/>
      <c r="I140" s="69" t="s">
        <v>360</v>
      </c>
      <c r="J140" s="70">
        <f>(M131-(F131*J137)-(G131*J138)-(H131*J139))/I131</f>
        <v>4</v>
      </c>
      <c r="P140" s="51"/>
      <c r="S140" s="50"/>
      <c r="T140" s="44" t="s">
        <v>102</v>
      </c>
      <c r="U140" s="46">
        <f>Z126/X147</f>
        <v>-1</v>
      </c>
      <c r="V140" s="2"/>
      <c r="W140" s="69" t="s">
        <v>340</v>
      </c>
      <c r="X140" s="70">
        <f>Y129-(X144*U137)</f>
        <v>3</v>
      </c>
      <c r="AH140" s="51"/>
    </row>
    <row r="141" spans="1:34" ht="15.75" thickBot="1" x14ac:dyDescent="0.3">
      <c r="A141" s="50"/>
      <c r="B141" s="50"/>
      <c r="H141" s="2"/>
      <c r="P141" s="51"/>
      <c r="S141" s="50"/>
      <c r="T141" s="44" t="s">
        <v>104</v>
      </c>
      <c r="U141" s="46">
        <f>(Z127-(X146*U140))/X142</f>
        <v>-1.3333333333333333</v>
      </c>
      <c r="V141" s="2"/>
      <c r="W141" s="69" t="s">
        <v>112</v>
      </c>
      <c r="X141" s="70">
        <f>Y128-(X145*U137)</f>
        <v>3</v>
      </c>
      <c r="AH141" s="51"/>
    </row>
    <row r="142" spans="1:34" ht="15.75" thickBot="1" x14ac:dyDescent="0.3">
      <c r="A142" s="50"/>
      <c r="B142" s="52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40"/>
      <c r="S142" s="50"/>
      <c r="T142" s="44" t="s">
        <v>107</v>
      </c>
      <c r="U142" s="46">
        <f>AA120</f>
        <v>1</v>
      </c>
      <c r="V142" s="2"/>
      <c r="W142" s="17" t="s">
        <v>341</v>
      </c>
      <c r="X142" s="19">
        <f>Y127-(X146*U137)</f>
        <v>-6</v>
      </c>
      <c r="AH142" s="51"/>
    </row>
    <row r="143" spans="1:34" ht="15.75" thickBot="1" x14ac:dyDescent="0.3">
      <c r="A143" s="50"/>
      <c r="S143" s="50"/>
      <c r="T143" s="2"/>
      <c r="U143" s="2"/>
      <c r="V143" s="2"/>
      <c r="W143" s="2"/>
      <c r="X143" s="2"/>
      <c r="AH143" s="51"/>
    </row>
    <row r="144" spans="1:34" ht="15.75" thickBot="1" x14ac:dyDescent="0.3">
      <c r="A144" s="50"/>
      <c r="S144" s="50"/>
      <c r="T144" s="69" t="s">
        <v>334</v>
      </c>
      <c r="U144" s="70">
        <f>AA126/X147</f>
        <v>-1</v>
      </c>
      <c r="V144" s="2"/>
      <c r="W144" s="69" t="s">
        <v>342</v>
      </c>
      <c r="X144" s="70">
        <f>X129</f>
        <v>-1</v>
      </c>
      <c r="AH144" s="51"/>
    </row>
    <row r="145" spans="1:34" ht="15.75" thickBot="1" x14ac:dyDescent="0.3">
      <c r="A145" s="50"/>
      <c r="S145" s="50"/>
      <c r="T145" s="69" t="s">
        <v>335</v>
      </c>
      <c r="U145" s="70">
        <f>(AA127-(X146*U144))/X142</f>
        <v>-0.16666666666666666</v>
      </c>
      <c r="V145" s="2"/>
      <c r="W145" s="69" t="s">
        <v>109</v>
      </c>
      <c r="X145" s="70">
        <f>X128</f>
        <v>-3</v>
      </c>
      <c r="AH145" s="51"/>
    </row>
    <row r="146" spans="1:34" ht="15.75" thickBot="1" x14ac:dyDescent="0.3">
      <c r="A146" s="50"/>
      <c r="S146" s="50"/>
      <c r="T146" s="69" t="s">
        <v>336</v>
      </c>
      <c r="U146" s="70">
        <f>(AA128-(X145*U144)-(X141*U145))/X138</f>
        <v>-0.5</v>
      </c>
      <c r="V146" s="2"/>
      <c r="W146" s="69" t="s">
        <v>343</v>
      </c>
      <c r="X146" s="70">
        <f>X127</f>
        <v>4</v>
      </c>
      <c r="AH146" s="51"/>
    </row>
    <row r="147" spans="1:34" ht="15.75" thickBot="1" x14ac:dyDescent="0.3">
      <c r="A147" s="50"/>
      <c r="S147" s="50"/>
      <c r="T147" s="69" t="s">
        <v>337</v>
      </c>
      <c r="U147" s="70">
        <f>AB121</f>
        <v>1</v>
      </c>
      <c r="V147" s="2"/>
      <c r="W147" s="17" t="s">
        <v>94</v>
      </c>
      <c r="X147" s="19">
        <f>X126</f>
        <v>2</v>
      </c>
      <c r="AH147" s="51"/>
    </row>
    <row r="148" spans="1:34" ht="15.75" thickBot="1" x14ac:dyDescent="0.3">
      <c r="A148" s="50"/>
      <c r="S148" s="50"/>
      <c r="AH148" s="51"/>
    </row>
    <row r="149" spans="1:34" x14ac:dyDescent="0.25">
      <c r="A149" s="50"/>
      <c r="C149" s="47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9"/>
      <c r="S149" s="50"/>
      <c r="AH149" s="51"/>
    </row>
    <row r="150" spans="1:34" ht="15.75" thickBot="1" x14ac:dyDescent="0.3">
      <c r="A150" s="50"/>
      <c r="C150" s="50"/>
      <c r="N150" s="51"/>
      <c r="S150" s="52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40"/>
    </row>
    <row r="151" spans="1:34" x14ac:dyDescent="0.25">
      <c r="A151" s="50"/>
      <c r="C151" s="50"/>
      <c r="D151" s="484" t="s">
        <v>72</v>
      </c>
      <c r="E151" s="479"/>
      <c r="F151" s="479"/>
      <c r="G151" s="479"/>
      <c r="H151" s="503" t="s">
        <v>36</v>
      </c>
      <c r="I151" s="479" t="s">
        <v>30</v>
      </c>
      <c r="J151" s="503" t="s">
        <v>32</v>
      </c>
      <c r="K151" s="481" t="s">
        <v>114</v>
      </c>
      <c r="N151" s="51"/>
      <c r="AH151" s="51"/>
    </row>
    <row r="152" spans="1:34" ht="15.75" thickBot="1" x14ac:dyDescent="0.3">
      <c r="A152" s="50"/>
      <c r="C152" s="50"/>
      <c r="D152" s="485"/>
      <c r="E152" s="480"/>
      <c r="F152" s="480"/>
      <c r="G152" s="480"/>
      <c r="H152" s="504"/>
      <c r="I152" s="480"/>
      <c r="J152" s="504"/>
      <c r="K152" s="482"/>
      <c r="N152" s="51"/>
      <c r="AH152" s="51"/>
    </row>
    <row r="153" spans="1:34" ht="15.75" x14ac:dyDescent="0.25">
      <c r="A153" s="50"/>
      <c r="C153" s="50"/>
      <c r="D153" s="310">
        <f t="shared" ref="D153:G156" si="11">H114</f>
        <v>1</v>
      </c>
      <c r="E153" s="311">
        <f t="shared" si="11"/>
        <v>2</v>
      </c>
      <c r="F153" s="311">
        <f t="shared" si="11"/>
        <v>-1</v>
      </c>
      <c r="G153" s="312">
        <f t="shared" si="11"/>
        <v>-1</v>
      </c>
      <c r="H153" s="501" t="s">
        <v>30</v>
      </c>
      <c r="I153" s="318" t="str">
        <f>M114</f>
        <v>a</v>
      </c>
      <c r="J153" s="502" t="s">
        <v>32</v>
      </c>
      <c r="K153" s="318">
        <f>J137</f>
        <v>-2</v>
      </c>
      <c r="N153" s="51"/>
      <c r="AH153" s="51"/>
    </row>
    <row r="154" spans="1:34" ht="15.75" x14ac:dyDescent="0.25">
      <c r="A154" s="50"/>
      <c r="C154" s="50"/>
      <c r="D154" s="313">
        <f t="shared" si="11"/>
        <v>0</v>
      </c>
      <c r="E154" s="306">
        <f t="shared" si="11"/>
        <v>1</v>
      </c>
      <c r="F154" s="306">
        <f t="shared" si="11"/>
        <v>-1.3333333333333333</v>
      </c>
      <c r="G154" s="314">
        <f t="shared" si="11"/>
        <v>-0.16666666666666666</v>
      </c>
      <c r="H154" s="501"/>
      <c r="I154" s="319" t="str">
        <f>M115</f>
        <v>b</v>
      </c>
      <c r="J154" s="502"/>
      <c r="K154" s="319">
        <f>J138</f>
        <v>-2.1666666666666665</v>
      </c>
      <c r="N154" s="51"/>
      <c r="AH154" s="51"/>
    </row>
    <row r="155" spans="1:34" ht="15.75" x14ac:dyDescent="0.25">
      <c r="A155" s="50"/>
      <c r="C155" s="50"/>
      <c r="D155" s="313">
        <f t="shared" si="11"/>
        <v>0</v>
      </c>
      <c r="E155" s="306">
        <f t="shared" si="11"/>
        <v>0</v>
      </c>
      <c r="F155" s="306">
        <f t="shared" si="11"/>
        <v>1</v>
      </c>
      <c r="G155" s="314">
        <f t="shared" si="11"/>
        <v>-0.5</v>
      </c>
      <c r="H155" s="501"/>
      <c r="I155" s="319" t="str">
        <f>M116</f>
        <v>c</v>
      </c>
      <c r="J155" s="502"/>
      <c r="K155" s="319">
        <f>J139</f>
        <v>0.83333333333333337</v>
      </c>
      <c r="N155" s="51"/>
      <c r="AH155" s="51"/>
    </row>
    <row r="156" spans="1:34" ht="16.5" thickBot="1" x14ac:dyDescent="0.3">
      <c r="A156" s="50"/>
      <c r="C156" s="50"/>
      <c r="D156" s="315">
        <f t="shared" si="11"/>
        <v>0</v>
      </c>
      <c r="E156" s="316">
        <f t="shared" si="11"/>
        <v>0</v>
      </c>
      <c r="F156" s="316">
        <f t="shared" si="11"/>
        <v>0</v>
      </c>
      <c r="G156" s="317">
        <f t="shared" si="11"/>
        <v>1</v>
      </c>
      <c r="H156" s="501"/>
      <c r="I156" s="320" t="str">
        <f>M117</f>
        <v>d</v>
      </c>
      <c r="J156" s="502"/>
      <c r="K156" s="320">
        <f>J140</f>
        <v>4</v>
      </c>
      <c r="N156" s="51"/>
      <c r="AH156" s="51"/>
    </row>
    <row r="157" spans="1:34" x14ac:dyDescent="0.25">
      <c r="A157" s="50"/>
      <c r="C157" s="50"/>
      <c r="N157" s="51"/>
      <c r="AH157" s="51"/>
    </row>
    <row r="158" spans="1:34" ht="15.75" thickBot="1" x14ac:dyDescent="0.3">
      <c r="A158" s="50"/>
      <c r="C158" s="50"/>
      <c r="J158" s="117"/>
      <c r="K158" s="117"/>
      <c r="N158" s="51"/>
      <c r="AH158" s="51"/>
    </row>
    <row r="159" spans="1:34" x14ac:dyDescent="0.25">
      <c r="A159" s="50"/>
      <c r="C159" s="50"/>
      <c r="E159" s="282" t="str">
        <f>I156</f>
        <v>d</v>
      </c>
      <c r="F159" s="280" t="s">
        <v>32</v>
      </c>
      <c r="G159" s="254">
        <f>K156/G156</f>
        <v>4</v>
      </c>
      <c r="H159" s="119" t="s">
        <v>55</v>
      </c>
      <c r="I159" s="117" t="s">
        <v>351</v>
      </c>
      <c r="J159" s="117"/>
      <c r="K159" s="117"/>
      <c r="N159" s="51"/>
      <c r="AH159" s="51"/>
    </row>
    <row r="160" spans="1:34" x14ac:dyDescent="0.25">
      <c r="A160" s="50"/>
      <c r="C160" s="50"/>
      <c r="E160" s="286" t="str">
        <f>I155</f>
        <v>c</v>
      </c>
      <c r="F160" s="287" t="s">
        <v>32</v>
      </c>
      <c r="G160" s="288">
        <f>(K155-(G155*G159))/F155</f>
        <v>2.8333333333333335</v>
      </c>
      <c r="H160" s="119" t="str">
        <f>H159</f>
        <v>&lt;&lt;&lt;&lt;&lt;&lt;</v>
      </c>
      <c r="I160" s="117" t="s">
        <v>352</v>
      </c>
      <c r="J160" s="117"/>
      <c r="K160" s="117"/>
      <c r="N160" s="51"/>
      <c r="AH160" s="51"/>
    </row>
    <row r="161" spans="1:34" x14ac:dyDescent="0.25">
      <c r="A161" s="50"/>
      <c r="C161" s="50"/>
      <c r="E161" s="286" t="str">
        <f>I154</f>
        <v>b</v>
      </c>
      <c r="F161" s="287" t="s">
        <v>32</v>
      </c>
      <c r="G161" s="288">
        <f>(K154-(F154*G160)-(G154*G159))/E154</f>
        <v>2.2777777777777777</v>
      </c>
      <c r="H161" s="119" t="str">
        <f>H160</f>
        <v>&lt;&lt;&lt;&lt;&lt;&lt;</v>
      </c>
      <c r="I161" s="117" t="s">
        <v>366</v>
      </c>
      <c r="N161" s="51"/>
      <c r="AH161" s="51"/>
    </row>
    <row r="162" spans="1:34" ht="15.75" thickBot="1" x14ac:dyDescent="0.3">
      <c r="A162" s="50"/>
      <c r="C162" s="50"/>
      <c r="E162" s="283" t="str">
        <f>I153</f>
        <v>a</v>
      </c>
      <c r="F162" s="281" t="s">
        <v>32</v>
      </c>
      <c r="G162" s="255">
        <f>(K153-(E153*G161)-(F153*G160)-(G153*G159))/D153</f>
        <v>0.27777777777777812</v>
      </c>
      <c r="H162" s="119" t="str">
        <f>H161</f>
        <v>&lt;&lt;&lt;&lt;&lt;&lt;</v>
      </c>
      <c r="I162" s="117" t="s">
        <v>367</v>
      </c>
      <c r="N162" s="51"/>
      <c r="AH162" s="51"/>
    </row>
    <row r="163" spans="1:34" ht="15.75" thickBot="1" x14ac:dyDescent="0.3">
      <c r="A163" s="50"/>
      <c r="C163" s="52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40"/>
      <c r="AH163" s="51"/>
    </row>
    <row r="164" spans="1:34" ht="15.75" thickBot="1" x14ac:dyDescent="0.3">
      <c r="A164" s="52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40"/>
    </row>
  </sheetData>
  <mergeCells count="111">
    <mergeCell ref="C112:F113"/>
    <mergeCell ref="G112:G113"/>
    <mergeCell ref="H112:K113"/>
    <mergeCell ref="L112:L113"/>
    <mergeCell ref="M112:M113"/>
    <mergeCell ref="N112:N113"/>
    <mergeCell ref="O112:O113"/>
    <mergeCell ref="G102:G105"/>
    <mergeCell ref="L102:L105"/>
    <mergeCell ref="H153:H156"/>
    <mergeCell ref="J153:J156"/>
    <mergeCell ref="K135:L135"/>
    <mergeCell ref="D151:G152"/>
    <mergeCell ref="H151:H152"/>
    <mergeCell ref="I151:I152"/>
    <mergeCell ref="J151:J152"/>
    <mergeCell ref="K151:K152"/>
    <mergeCell ref="Y116:AB117"/>
    <mergeCell ref="AB126:AC129"/>
    <mergeCell ref="T127:T129"/>
    <mergeCell ref="U127:U129"/>
    <mergeCell ref="V127:V129"/>
    <mergeCell ref="J128:J131"/>
    <mergeCell ref="L128:L131"/>
    <mergeCell ref="T124:W124"/>
    <mergeCell ref="F125:I126"/>
    <mergeCell ref="J125:J126"/>
    <mergeCell ref="K125:K126"/>
    <mergeCell ref="L125:L126"/>
    <mergeCell ref="M125:M126"/>
    <mergeCell ref="AC116:AC117"/>
    <mergeCell ref="AD116:AG117"/>
    <mergeCell ref="X118:X121"/>
    <mergeCell ref="AC118:AC121"/>
    <mergeCell ref="G114:G117"/>
    <mergeCell ref="L114:L117"/>
    <mergeCell ref="N114:N117"/>
    <mergeCell ref="T116:W117"/>
    <mergeCell ref="X116:X117"/>
    <mergeCell ref="N102:N105"/>
    <mergeCell ref="S103:AH104"/>
    <mergeCell ref="V106:AC106"/>
    <mergeCell ref="V107:AC107"/>
    <mergeCell ref="G91:G94"/>
    <mergeCell ref="I91:I94"/>
    <mergeCell ref="X93:X96"/>
    <mergeCell ref="AC93:AC96"/>
    <mergeCell ref="C100:F101"/>
    <mergeCell ref="G100:G101"/>
    <mergeCell ref="H100:K101"/>
    <mergeCell ref="L100:L101"/>
    <mergeCell ref="M100:M101"/>
    <mergeCell ref="N100:N101"/>
    <mergeCell ref="O100:O101"/>
    <mergeCell ref="T90:W91"/>
    <mergeCell ref="X90:X91"/>
    <mergeCell ref="Y90:AB91"/>
    <mergeCell ref="AC90:AC91"/>
    <mergeCell ref="AD90:AG91"/>
    <mergeCell ref="E21:E23"/>
    <mergeCell ref="G21:G23"/>
    <mergeCell ref="B29:D29"/>
    <mergeCell ref="F29:H29"/>
    <mergeCell ref="E32:E34"/>
    <mergeCell ref="A84:AH85"/>
    <mergeCell ref="S87:AH88"/>
    <mergeCell ref="C88:F89"/>
    <mergeCell ref="G88:G89"/>
    <mergeCell ref="H88:H89"/>
    <mergeCell ref="I88:I89"/>
    <mergeCell ref="J88:J89"/>
    <mergeCell ref="X35:X37"/>
    <mergeCell ref="X42:X44"/>
    <mergeCell ref="Y34:AA34"/>
    <mergeCell ref="P27:AB27"/>
    <mergeCell ref="C71:E71"/>
    <mergeCell ref="F73:F75"/>
    <mergeCell ref="H73:H75"/>
    <mergeCell ref="Q40:T40"/>
    <mergeCell ref="Q46:V46"/>
    <mergeCell ref="E41:E43"/>
    <mergeCell ref="I41:I43"/>
    <mergeCell ref="T21:T23"/>
    <mergeCell ref="T35:T37"/>
    <mergeCell ref="X21:X23"/>
    <mergeCell ref="A1:AC2"/>
    <mergeCell ref="Y20:AA20"/>
    <mergeCell ref="G5:G7"/>
    <mergeCell ref="B18:D18"/>
    <mergeCell ref="A15:AC15"/>
    <mergeCell ref="Q20:S20"/>
    <mergeCell ref="U20:W20"/>
    <mergeCell ref="B4:H4"/>
    <mergeCell ref="E5:E7"/>
    <mergeCell ref="K4:R4"/>
    <mergeCell ref="O5:O8"/>
    <mergeCell ref="Q5:Q8"/>
    <mergeCell ref="U4:AA4"/>
    <mergeCell ref="U6:AA7"/>
    <mergeCell ref="P18:AB18"/>
    <mergeCell ref="C26:E26"/>
    <mergeCell ref="B39:D39"/>
    <mergeCell ref="F39:H39"/>
    <mergeCell ref="K41:K42"/>
    <mergeCell ref="G53:G55"/>
    <mergeCell ref="I53:I55"/>
    <mergeCell ref="H59:I59"/>
    <mergeCell ref="I32:I34"/>
    <mergeCell ref="K32:K34"/>
    <mergeCell ref="Q29:X29"/>
    <mergeCell ref="Q30:X3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7F2-D6CD-4970-A40C-2C484F8535D5}">
  <sheetPr codeName="Sheet7"/>
  <dimension ref="A1:R51"/>
  <sheetViews>
    <sheetView zoomScaleNormal="100" workbookViewId="0">
      <selection activeCell="N7" sqref="N7"/>
    </sheetView>
  </sheetViews>
  <sheetFormatPr defaultColWidth="0" defaultRowHeight="15" zeroHeight="1" x14ac:dyDescent="0.25"/>
  <cols>
    <col min="1" max="1" width="9.140625" customWidth="1"/>
    <col min="2" max="2" width="11.140625" customWidth="1"/>
    <col min="3" max="7" width="9.140625" customWidth="1"/>
    <col min="8" max="8" width="8.85546875" customWidth="1"/>
    <col min="9" max="9" width="9.85546875" customWidth="1"/>
    <col min="10" max="18" width="9.140625" customWidth="1"/>
    <col min="19" max="16384" width="9.140625" hidden="1"/>
  </cols>
  <sheetData>
    <row r="1" spans="1:18" ht="26.25" thickBot="1" x14ac:dyDescent="0.45">
      <c r="A1" s="382" t="s">
        <v>139</v>
      </c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4"/>
    </row>
    <row r="2" spans="1:18" ht="15.75" customHeight="1" thickBot="1" x14ac:dyDescent="0.45">
      <c r="A2" s="138"/>
      <c r="Q2" s="51"/>
    </row>
    <row r="3" spans="1:18" ht="17.25" customHeight="1" thickBot="1" x14ac:dyDescent="0.45">
      <c r="A3" s="138"/>
      <c r="D3" s="452" t="s">
        <v>306</v>
      </c>
      <c r="E3" s="453"/>
      <c r="F3" s="453"/>
      <c r="G3" s="453"/>
      <c r="H3" s="453"/>
      <c r="I3" s="453"/>
      <c r="J3" s="453"/>
      <c r="K3" s="453"/>
      <c r="L3" s="453"/>
      <c r="M3" s="454"/>
      <c r="Q3" s="51"/>
    </row>
    <row r="4" spans="1:18" ht="17.25" customHeight="1" x14ac:dyDescent="0.4">
      <c r="A4" s="138"/>
      <c r="D4" s="124">
        <v>2</v>
      </c>
      <c r="E4" s="247" t="s">
        <v>30</v>
      </c>
      <c r="F4" s="53">
        <v>1</v>
      </c>
      <c r="G4" s="247" t="s">
        <v>31</v>
      </c>
      <c r="H4" s="53">
        <v>1</v>
      </c>
      <c r="I4" s="247" t="s">
        <v>141</v>
      </c>
      <c r="J4" s="53">
        <v>0</v>
      </c>
      <c r="K4" s="247" t="s">
        <v>142</v>
      </c>
      <c r="L4" s="53" t="s">
        <v>32</v>
      </c>
      <c r="M4" s="103">
        <v>6</v>
      </c>
      <c r="Q4" s="51"/>
    </row>
    <row r="5" spans="1:18" ht="21" x14ac:dyDescent="0.35">
      <c r="A5" s="50"/>
      <c r="D5" s="98">
        <v>1</v>
      </c>
      <c r="E5" s="246" t="s">
        <v>30</v>
      </c>
      <c r="F5" s="2">
        <v>3</v>
      </c>
      <c r="G5" s="246" t="s">
        <v>31</v>
      </c>
      <c r="H5" s="2">
        <v>-1</v>
      </c>
      <c r="I5" s="246" t="s">
        <v>141</v>
      </c>
      <c r="J5" s="2">
        <v>0</v>
      </c>
      <c r="K5" s="246" t="s">
        <v>142</v>
      </c>
      <c r="L5" s="2" t="s">
        <v>32</v>
      </c>
      <c r="M5" s="99">
        <v>0</v>
      </c>
      <c r="Q5" s="51"/>
    </row>
    <row r="6" spans="1:18" ht="21" x14ac:dyDescent="0.35">
      <c r="A6" s="50"/>
      <c r="D6" s="98">
        <v>-1</v>
      </c>
      <c r="E6" s="246" t="s">
        <v>30</v>
      </c>
      <c r="F6" s="2">
        <v>1</v>
      </c>
      <c r="G6" s="246" t="s">
        <v>31</v>
      </c>
      <c r="H6" s="2">
        <v>2</v>
      </c>
      <c r="I6" s="246" t="s">
        <v>141</v>
      </c>
      <c r="J6" s="2">
        <v>0</v>
      </c>
      <c r="K6" s="246" t="s">
        <v>142</v>
      </c>
      <c r="L6" s="2" t="s">
        <v>32</v>
      </c>
      <c r="M6" s="99">
        <v>3</v>
      </c>
      <c r="Q6" s="51"/>
    </row>
    <row r="7" spans="1:18" ht="21.75" thickBot="1" x14ac:dyDescent="0.4">
      <c r="A7" s="139"/>
      <c r="D7" s="100">
        <v>0</v>
      </c>
      <c r="E7" s="248" t="s">
        <v>30</v>
      </c>
      <c r="F7" s="101">
        <v>0</v>
      </c>
      <c r="G7" s="248" t="s">
        <v>31</v>
      </c>
      <c r="H7" s="101">
        <v>0</v>
      </c>
      <c r="I7" s="248" t="s">
        <v>141</v>
      </c>
      <c r="J7" s="101">
        <v>0</v>
      </c>
      <c r="K7" s="248" t="s">
        <v>142</v>
      </c>
      <c r="L7" s="101" t="s">
        <v>32</v>
      </c>
      <c r="M7" s="102">
        <v>0</v>
      </c>
      <c r="Q7" s="51"/>
    </row>
    <row r="8" spans="1:18" ht="21" x14ac:dyDescent="0.35">
      <c r="A8" s="139"/>
      <c r="D8" s="2"/>
      <c r="E8" s="246"/>
      <c r="F8" s="2"/>
      <c r="G8" s="246"/>
      <c r="H8" s="2"/>
      <c r="I8" s="246"/>
      <c r="J8" s="2"/>
      <c r="K8" s="246"/>
      <c r="L8" s="2"/>
      <c r="M8" s="2"/>
      <c r="Q8" s="51"/>
    </row>
    <row r="9" spans="1:18" ht="15.75" thickBot="1" x14ac:dyDescent="0.3">
      <c r="A9" s="50"/>
      <c r="Q9" s="51"/>
    </row>
    <row r="10" spans="1:18" ht="16.5" thickBot="1" x14ac:dyDescent="0.3">
      <c r="A10" s="50"/>
      <c r="E10" s="546" t="s">
        <v>253</v>
      </c>
      <c r="F10" s="547"/>
      <c r="G10" s="547"/>
      <c r="H10" s="547"/>
      <c r="I10" s="547"/>
      <c r="J10" s="547"/>
      <c r="K10" s="547"/>
      <c r="L10" s="548"/>
      <c r="Q10" s="51"/>
    </row>
    <row r="11" spans="1:18" ht="15.75" thickBot="1" x14ac:dyDescent="0.3">
      <c r="A11" s="50"/>
      <c r="E11" s="549" t="s">
        <v>238</v>
      </c>
      <c r="F11" s="550"/>
      <c r="G11" s="550"/>
      <c r="H11" s="550"/>
      <c r="I11" s="550"/>
      <c r="J11" s="550"/>
      <c r="K11" s="550"/>
      <c r="L11" s="551"/>
      <c r="Q11" s="51"/>
    </row>
    <row r="12" spans="1:18" ht="15.75" thickBot="1" x14ac:dyDescent="0.3">
      <c r="A12" s="50"/>
      <c r="Q12" s="51"/>
    </row>
    <row r="13" spans="1:18" ht="15.75" customHeight="1" thickBot="1" x14ac:dyDescent="0.3">
      <c r="A13" s="50"/>
      <c r="B13" s="552" t="s">
        <v>263</v>
      </c>
      <c r="C13" s="553"/>
      <c r="D13" s="553"/>
      <c r="E13" s="553"/>
      <c r="F13" s="553"/>
      <c r="G13" s="554"/>
      <c r="H13" s="132" t="s">
        <v>240</v>
      </c>
      <c r="I13" s="119" t="s">
        <v>264</v>
      </c>
      <c r="J13" s="541" t="s">
        <v>375</v>
      </c>
      <c r="K13" s="541"/>
      <c r="L13" s="541"/>
      <c r="M13" s="541"/>
      <c r="N13" s="541"/>
      <c r="O13" s="541"/>
      <c r="P13" s="541"/>
      <c r="Q13" s="542"/>
      <c r="R13" s="3"/>
    </row>
    <row r="14" spans="1:18" x14ac:dyDescent="0.25">
      <c r="A14" s="50"/>
      <c r="B14" s="124">
        <f>D4</f>
        <v>2</v>
      </c>
      <c r="C14" s="53">
        <f>F4</f>
        <v>1</v>
      </c>
      <c r="D14" s="53">
        <f>H4</f>
        <v>1</v>
      </c>
      <c r="E14" s="53">
        <f>J4</f>
        <v>0</v>
      </c>
      <c r="F14" s="134" t="s">
        <v>39</v>
      </c>
      <c r="G14" s="53">
        <f>M4</f>
        <v>6</v>
      </c>
      <c r="H14" s="184" t="b" cm="1">
        <f t="array" ref="H14">IF((B14&gt;SUM(ABS(C14:E14))),TRUE,FALSE  )</f>
        <v>0</v>
      </c>
      <c r="I14" s="2"/>
      <c r="J14" s="541"/>
      <c r="K14" s="541"/>
      <c r="L14" s="541"/>
      <c r="M14" s="541"/>
      <c r="N14" s="541"/>
      <c r="O14" s="541"/>
      <c r="P14" s="541"/>
      <c r="Q14" s="542"/>
    </row>
    <row r="15" spans="1:18" x14ac:dyDescent="0.25">
      <c r="A15" s="50"/>
      <c r="B15" s="98">
        <f>D5</f>
        <v>1</v>
      </c>
      <c r="C15" s="2">
        <f>F5</f>
        <v>3</v>
      </c>
      <c r="D15" s="2">
        <f>H5</f>
        <v>-1</v>
      </c>
      <c r="E15" s="2">
        <f>J5</f>
        <v>0</v>
      </c>
      <c r="F15" s="135" t="s">
        <v>39</v>
      </c>
      <c r="G15" s="2">
        <f>M5</f>
        <v>0</v>
      </c>
      <c r="H15" s="184" t="b" cm="1">
        <f t="array" ref="H15">IF((C15&gt;SUM(ABS(B15),ABS(D15:E15))),TRUE,FALSE  )</f>
        <v>1</v>
      </c>
      <c r="Q15" s="51"/>
    </row>
    <row r="16" spans="1:18" ht="15.75" thickBot="1" x14ac:dyDescent="0.3">
      <c r="A16" s="50"/>
      <c r="B16" s="98">
        <f>D6</f>
        <v>-1</v>
      </c>
      <c r="C16" s="2">
        <f>F6</f>
        <v>1</v>
      </c>
      <c r="D16" s="2">
        <f>H6</f>
        <v>2</v>
      </c>
      <c r="E16" s="2">
        <f>J6</f>
        <v>0</v>
      </c>
      <c r="F16" s="135" t="s">
        <v>39</v>
      </c>
      <c r="G16" s="2">
        <f>M6</f>
        <v>3</v>
      </c>
      <c r="H16" s="184" t="b" cm="1">
        <f t="array" ref="H16">IF(D16&gt;SUM(ABS(B16:C16),ABS(E16)),TRUE,FALSE  )</f>
        <v>0</v>
      </c>
      <c r="Q16" s="51"/>
    </row>
    <row r="17" spans="1:17" ht="15.75" thickBot="1" x14ac:dyDescent="0.3">
      <c r="A17" s="50"/>
      <c r="B17" s="100">
        <f>D7</f>
        <v>0</v>
      </c>
      <c r="C17" s="101">
        <f>F7</f>
        <v>0</v>
      </c>
      <c r="D17" s="101">
        <f>H7</f>
        <v>0</v>
      </c>
      <c r="E17" s="101">
        <f>J7</f>
        <v>0</v>
      </c>
      <c r="F17" s="136" t="s">
        <v>39</v>
      </c>
      <c r="G17" s="101">
        <f>M7</f>
        <v>0</v>
      </c>
      <c r="H17" s="185" t="b" cm="1">
        <f t="array" ref="H17">IF((E17&gt;SUM(ABS(B17:D17))),TRUE,FALSE  )</f>
        <v>0</v>
      </c>
      <c r="I17" s="119" t="s">
        <v>49</v>
      </c>
      <c r="J17" s="543" t="s">
        <v>239</v>
      </c>
      <c r="K17" s="544"/>
      <c r="L17" s="544"/>
      <c r="M17" s="545"/>
      <c r="N17" s="77" t="str">
        <f>IF(AND(H14=TRUE,H15=TRUE,H16=TRUE,H17=TRUE),"Yes","No")</f>
        <v>No</v>
      </c>
      <c r="Q17" s="51"/>
    </row>
    <row r="18" spans="1:17" x14ac:dyDescent="0.25">
      <c r="A18" s="50"/>
      <c r="Q18" s="51"/>
    </row>
    <row r="19" spans="1:17" x14ac:dyDescent="0.25">
      <c r="A19" s="50"/>
      <c r="Q19" s="51"/>
    </row>
    <row r="20" spans="1:17" ht="15.75" thickBot="1" x14ac:dyDescent="0.3">
      <c r="A20" s="52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40"/>
    </row>
    <row r="21" spans="1:17" ht="19.5" x14ac:dyDescent="0.3">
      <c r="A21" s="538" t="s">
        <v>143</v>
      </c>
      <c r="B21" s="539"/>
      <c r="C21" s="539"/>
      <c r="D21" s="539"/>
      <c r="E21" s="539"/>
      <c r="F21" s="539"/>
      <c r="G21" s="539"/>
      <c r="H21" s="539"/>
      <c r="I21" s="539"/>
      <c r="J21" s="539"/>
      <c r="K21" s="539"/>
      <c r="L21" s="539"/>
      <c r="M21" s="539"/>
      <c r="N21" s="539"/>
      <c r="O21" s="539"/>
      <c r="P21" s="539"/>
      <c r="Q21" s="540"/>
    </row>
    <row r="22" spans="1:17" x14ac:dyDescent="0.25">
      <c r="A22" s="50"/>
      <c r="Q22" s="51"/>
    </row>
    <row r="23" spans="1:17" x14ac:dyDescent="0.25">
      <c r="A23" s="50"/>
      <c r="B23" s="2"/>
      <c r="C23" s="21" t="s">
        <v>156</v>
      </c>
      <c r="D23" s="21" t="s">
        <v>144</v>
      </c>
      <c r="E23" s="21" t="s">
        <v>145</v>
      </c>
      <c r="F23" s="21" t="s">
        <v>146</v>
      </c>
      <c r="G23" s="21" t="s">
        <v>147</v>
      </c>
      <c r="H23" s="21" t="s">
        <v>148</v>
      </c>
      <c r="I23" s="21" t="s">
        <v>149</v>
      </c>
      <c r="J23" s="21" t="s">
        <v>150</v>
      </c>
      <c r="K23" s="21" t="s">
        <v>151</v>
      </c>
      <c r="L23" s="21" t="s">
        <v>152</v>
      </c>
      <c r="M23" s="21" t="s">
        <v>153</v>
      </c>
      <c r="N23" s="21" t="s">
        <v>154</v>
      </c>
      <c r="O23" s="21" t="s">
        <v>155</v>
      </c>
      <c r="P23" s="21" t="s">
        <v>290</v>
      </c>
      <c r="Q23" s="51"/>
    </row>
    <row r="24" spans="1:17" x14ac:dyDescent="0.25">
      <c r="A24" s="50"/>
      <c r="B24" s="21" t="s">
        <v>30</v>
      </c>
      <c r="C24" s="137">
        <v>0</v>
      </c>
      <c r="D24" s="137">
        <f t="shared" ref="D24:P24" si="0">($M4-($J4*C27)-($H4*C26)-($F4*C25))/$D4</f>
        <v>3</v>
      </c>
      <c r="E24" s="137" t="e">
        <f t="shared" si="0"/>
        <v>#DIV/0!</v>
      </c>
      <c r="F24" s="137" t="e">
        <f t="shared" si="0"/>
        <v>#DIV/0!</v>
      </c>
      <c r="G24" s="137" t="e">
        <f t="shared" si="0"/>
        <v>#DIV/0!</v>
      </c>
      <c r="H24" s="137" t="e">
        <f t="shared" si="0"/>
        <v>#DIV/0!</v>
      </c>
      <c r="I24" s="137" t="e">
        <f t="shared" si="0"/>
        <v>#DIV/0!</v>
      </c>
      <c r="J24" s="137" t="e">
        <f t="shared" si="0"/>
        <v>#DIV/0!</v>
      </c>
      <c r="K24" s="137" t="e">
        <f t="shared" si="0"/>
        <v>#DIV/0!</v>
      </c>
      <c r="L24" s="137" t="e">
        <f t="shared" si="0"/>
        <v>#DIV/0!</v>
      </c>
      <c r="M24" s="137" t="e">
        <f t="shared" si="0"/>
        <v>#DIV/0!</v>
      </c>
      <c r="N24" s="137" t="e">
        <f t="shared" si="0"/>
        <v>#DIV/0!</v>
      </c>
      <c r="O24" s="137" t="e">
        <f t="shared" si="0"/>
        <v>#DIV/0!</v>
      </c>
      <c r="P24" s="137" t="e">
        <f t="shared" si="0"/>
        <v>#DIV/0!</v>
      </c>
      <c r="Q24" s="51"/>
    </row>
    <row r="25" spans="1:17" x14ac:dyDescent="0.25">
      <c r="A25" s="50"/>
      <c r="B25" s="21" t="s">
        <v>31</v>
      </c>
      <c r="C25" s="137">
        <v>0</v>
      </c>
      <c r="D25" s="137">
        <f t="shared" ref="D25:P25" si="1">($M5-($J5*C27)-($H5*C26)-($D5*C24))/$F5</f>
        <v>0</v>
      </c>
      <c r="E25" s="137" t="e">
        <f t="shared" si="1"/>
        <v>#DIV/0!</v>
      </c>
      <c r="F25" s="137" t="e">
        <f t="shared" si="1"/>
        <v>#DIV/0!</v>
      </c>
      <c r="G25" s="137" t="e">
        <f t="shared" si="1"/>
        <v>#DIV/0!</v>
      </c>
      <c r="H25" s="137" t="e">
        <f t="shared" si="1"/>
        <v>#DIV/0!</v>
      </c>
      <c r="I25" s="137" t="e">
        <f t="shared" si="1"/>
        <v>#DIV/0!</v>
      </c>
      <c r="J25" s="137" t="e">
        <f t="shared" si="1"/>
        <v>#DIV/0!</v>
      </c>
      <c r="K25" s="137" t="e">
        <f t="shared" si="1"/>
        <v>#DIV/0!</v>
      </c>
      <c r="L25" s="137" t="e">
        <f t="shared" si="1"/>
        <v>#DIV/0!</v>
      </c>
      <c r="M25" s="137" t="e">
        <f t="shared" si="1"/>
        <v>#DIV/0!</v>
      </c>
      <c r="N25" s="137" t="e">
        <f t="shared" si="1"/>
        <v>#DIV/0!</v>
      </c>
      <c r="O25" s="137" t="e">
        <f t="shared" si="1"/>
        <v>#DIV/0!</v>
      </c>
      <c r="P25" s="137" t="e">
        <f t="shared" si="1"/>
        <v>#DIV/0!</v>
      </c>
      <c r="Q25" s="51"/>
    </row>
    <row r="26" spans="1:17" x14ac:dyDescent="0.25">
      <c r="A26" s="50"/>
      <c r="B26" s="21" t="s">
        <v>141</v>
      </c>
      <c r="C26" s="137">
        <v>0</v>
      </c>
      <c r="D26" s="137">
        <f t="shared" ref="D26:P26" si="2">($M6-($J6*C27)-($F6*C25)-($D6*C24))/$H6</f>
        <v>1.5</v>
      </c>
      <c r="E26" s="137" t="e">
        <f t="shared" si="2"/>
        <v>#DIV/0!</v>
      </c>
      <c r="F26" s="137" t="e">
        <f t="shared" si="2"/>
        <v>#DIV/0!</v>
      </c>
      <c r="G26" s="137" t="e">
        <f t="shared" si="2"/>
        <v>#DIV/0!</v>
      </c>
      <c r="H26" s="137" t="e">
        <f t="shared" si="2"/>
        <v>#DIV/0!</v>
      </c>
      <c r="I26" s="137" t="e">
        <f t="shared" si="2"/>
        <v>#DIV/0!</v>
      </c>
      <c r="J26" s="137" t="e">
        <f t="shared" si="2"/>
        <v>#DIV/0!</v>
      </c>
      <c r="K26" s="137" t="e">
        <f t="shared" si="2"/>
        <v>#DIV/0!</v>
      </c>
      <c r="L26" s="137" t="e">
        <f t="shared" si="2"/>
        <v>#DIV/0!</v>
      </c>
      <c r="M26" s="137" t="e">
        <f t="shared" si="2"/>
        <v>#DIV/0!</v>
      </c>
      <c r="N26" s="137" t="e">
        <f t="shared" si="2"/>
        <v>#DIV/0!</v>
      </c>
      <c r="O26" s="137" t="e">
        <f t="shared" si="2"/>
        <v>#DIV/0!</v>
      </c>
      <c r="P26" s="137" t="e">
        <f t="shared" si="2"/>
        <v>#DIV/0!</v>
      </c>
      <c r="Q26" s="51"/>
    </row>
    <row r="27" spans="1:17" x14ac:dyDescent="0.25">
      <c r="A27" s="50"/>
      <c r="B27" s="21" t="s">
        <v>142</v>
      </c>
      <c r="C27" s="137">
        <v>0</v>
      </c>
      <c r="D27" s="137" t="e">
        <f t="shared" ref="D27:P27" si="3">($M7-($D7*C24)-($F7*C25)-($H7*C26))/$J7</f>
        <v>#DIV/0!</v>
      </c>
      <c r="E27" s="137" t="e">
        <f t="shared" si="3"/>
        <v>#DIV/0!</v>
      </c>
      <c r="F27" s="137" t="e">
        <f t="shared" si="3"/>
        <v>#DIV/0!</v>
      </c>
      <c r="G27" s="137" t="e">
        <f t="shared" si="3"/>
        <v>#DIV/0!</v>
      </c>
      <c r="H27" s="137" t="e">
        <f t="shared" si="3"/>
        <v>#DIV/0!</v>
      </c>
      <c r="I27" s="137" t="e">
        <f t="shared" si="3"/>
        <v>#DIV/0!</v>
      </c>
      <c r="J27" s="137" t="e">
        <f t="shared" si="3"/>
        <v>#DIV/0!</v>
      </c>
      <c r="K27" s="137" t="e">
        <f t="shared" si="3"/>
        <v>#DIV/0!</v>
      </c>
      <c r="L27" s="137" t="e">
        <f t="shared" si="3"/>
        <v>#DIV/0!</v>
      </c>
      <c r="M27" s="137" t="e">
        <f t="shared" si="3"/>
        <v>#DIV/0!</v>
      </c>
      <c r="N27" s="137" t="e">
        <f t="shared" si="3"/>
        <v>#DIV/0!</v>
      </c>
      <c r="O27" s="137" t="e">
        <f t="shared" si="3"/>
        <v>#DIV/0!</v>
      </c>
      <c r="P27" s="137" t="e">
        <f t="shared" si="3"/>
        <v>#DIV/0!</v>
      </c>
      <c r="Q27" s="51"/>
    </row>
    <row r="28" spans="1:17" x14ac:dyDescent="0.25">
      <c r="A28" s="50"/>
      <c r="Q28" s="51"/>
    </row>
    <row r="29" spans="1:17" ht="15.75" thickBot="1" x14ac:dyDescent="0.3">
      <c r="A29" s="52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40"/>
    </row>
    <row r="30" spans="1:17" ht="19.5" x14ac:dyDescent="0.3">
      <c r="A30" s="538" t="s">
        <v>140</v>
      </c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40"/>
    </row>
    <row r="31" spans="1:17" x14ac:dyDescent="0.25">
      <c r="A31" s="50"/>
      <c r="Q31" s="51"/>
    </row>
    <row r="32" spans="1:17" x14ac:dyDescent="0.25">
      <c r="A32" s="50"/>
      <c r="B32" s="2"/>
      <c r="C32" s="21" t="s">
        <v>156</v>
      </c>
      <c r="D32" s="21" t="s">
        <v>144</v>
      </c>
      <c r="E32" s="21" t="s">
        <v>145</v>
      </c>
      <c r="F32" s="21" t="s">
        <v>146</v>
      </c>
      <c r="G32" s="21" t="s">
        <v>147</v>
      </c>
      <c r="H32" s="21" t="s">
        <v>148</v>
      </c>
      <c r="I32" s="21" t="s">
        <v>149</v>
      </c>
      <c r="J32" s="21" t="s">
        <v>150</v>
      </c>
      <c r="K32" s="21" t="s">
        <v>151</v>
      </c>
      <c r="L32" s="21" t="s">
        <v>152</v>
      </c>
      <c r="M32" s="21" t="s">
        <v>153</v>
      </c>
      <c r="N32" s="21" t="s">
        <v>154</v>
      </c>
      <c r="O32" s="21" t="s">
        <v>155</v>
      </c>
      <c r="P32" s="21" t="s">
        <v>290</v>
      </c>
      <c r="Q32" s="51"/>
    </row>
    <row r="33" spans="1:17" x14ac:dyDescent="0.25">
      <c r="A33" s="50"/>
      <c r="B33" s="21" t="s">
        <v>30</v>
      </c>
      <c r="C33" s="137">
        <v>0</v>
      </c>
      <c r="D33" s="137">
        <f t="shared" ref="D33:P33" si="4">($M4-($J4*C36)-($H4*C35)-($F4*C34))/$D4</f>
        <v>3</v>
      </c>
      <c r="E33" s="137" t="e">
        <f t="shared" si="4"/>
        <v>#DIV/0!</v>
      </c>
      <c r="F33" s="137" t="e">
        <f t="shared" si="4"/>
        <v>#DIV/0!</v>
      </c>
      <c r="G33" s="137" t="e">
        <f t="shared" si="4"/>
        <v>#DIV/0!</v>
      </c>
      <c r="H33" s="137" t="e">
        <f t="shared" si="4"/>
        <v>#DIV/0!</v>
      </c>
      <c r="I33" s="137" t="e">
        <f t="shared" si="4"/>
        <v>#DIV/0!</v>
      </c>
      <c r="J33" s="137" t="e">
        <f t="shared" si="4"/>
        <v>#DIV/0!</v>
      </c>
      <c r="K33" s="137" t="e">
        <f t="shared" si="4"/>
        <v>#DIV/0!</v>
      </c>
      <c r="L33" s="137" t="e">
        <f t="shared" si="4"/>
        <v>#DIV/0!</v>
      </c>
      <c r="M33" s="137" t="e">
        <f t="shared" si="4"/>
        <v>#DIV/0!</v>
      </c>
      <c r="N33" s="137" t="e">
        <f t="shared" si="4"/>
        <v>#DIV/0!</v>
      </c>
      <c r="O33" s="137" t="e">
        <f t="shared" si="4"/>
        <v>#DIV/0!</v>
      </c>
      <c r="P33" s="137" t="e">
        <f t="shared" si="4"/>
        <v>#DIV/0!</v>
      </c>
      <c r="Q33" s="51"/>
    </row>
    <row r="34" spans="1:17" x14ac:dyDescent="0.25">
      <c r="A34" s="50"/>
      <c r="B34" s="21" t="s">
        <v>31</v>
      </c>
      <c r="C34" s="137">
        <v>0</v>
      </c>
      <c r="D34" s="137">
        <f t="shared" ref="D34:P34" si="5">($M5-($J5*C36)-($H5*C35)-($D5*D33))/$F5</f>
        <v>-1</v>
      </c>
      <c r="E34" s="137" t="e">
        <f t="shared" si="5"/>
        <v>#DIV/0!</v>
      </c>
      <c r="F34" s="137" t="e">
        <f t="shared" si="5"/>
        <v>#DIV/0!</v>
      </c>
      <c r="G34" s="137" t="e">
        <f t="shared" si="5"/>
        <v>#DIV/0!</v>
      </c>
      <c r="H34" s="137" t="e">
        <f t="shared" si="5"/>
        <v>#DIV/0!</v>
      </c>
      <c r="I34" s="137" t="e">
        <f t="shared" si="5"/>
        <v>#DIV/0!</v>
      </c>
      <c r="J34" s="137" t="e">
        <f t="shared" si="5"/>
        <v>#DIV/0!</v>
      </c>
      <c r="K34" s="137" t="e">
        <f t="shared" si="5"/>
        <v>#DIV/0!</v>
      </c>
      <c r="L34" s="137" t="e">
        <f t="shared" si="5"/>
        <v>#DIV/0!</v>
      </c>
      <c r="M34" s="137" t="e">
        <f t="shared" si="5"/>
        <v>#DIV/0!</v>
      </c>
      <c r="N34" s="137" t="e">
        <f t="shared" si="5"/>
        <v>#DIV/0!</v>
      </c>
      <c r="O34" s="137" t="e">
        <f t="shared" si="5"/>
        <v>#DIV/0!</v>
      </c>
      <c r="P34" s="137" t="e">
        <f t="shared" si="5"/>
        <v>#DIV/0!</v>
      </c>
      <c r="Q34" s="51"/>
    </row>
    <row r="35" spans="1:17" x14ac:dyDescent="0.25">
      <c r="A35" s="50"/>
      <c r="B35" s="21" t="s">
        <v>141</v>
      </c>
      <c r="C35" s="137">
        <v>0</v>
      </c>
      <c r="D35" s="137">
        <f t="shared" ref="D35:P35" si="6">($M6-($J6*C36)-($F6*D34)-($D6*D33))/$H6</f>
        <v>3.5</v>
      </c>
      <c r="E35" s="137" t="e">
        <f t="shared" si="6"/>
        <v>#DIV/0!</v>
      </c>
      <c r="F35" s="137" t="e">
        <f t="shared" si="6"/>
        <v>#DIV/0!</v>
      </c>
      <c r="G35" s="137" t="e">
        <f t="shared" si="6"/>
        <v>#DIV/0!</v>
      </c>
      <c r="H35" s="137" t="e">
        <f t="shared" si="6"/>
        <v>#DIV/0!</v>
      </c>
      <c r="I35" s="137" t="e">
        <f t="shared" si="6"/>
        <v>#DIV/0!</v>
      </c>
      <c r="J35" s="137" t="e">
        <f t="shared" si="6"/>
        <v>#DIV/0!</v>
      </c>
      <c r="K35" s="137" t="e">
        <f t="shared" si="6"/>
        <v>#DIV/0!</v>
      </c>
      <c r="L35" s="137" t="e">
        <f t="shared" si="6"/>
        <v>#DIV/0!</v>
      </c>
      <c r="M35" s="137" t="e">
        <f t="shared" si="6"/>
        <v>#DIV/0!</v>
      </c>
      <c r="N35" s="137" t="e">
        <f t="shared" si="6"/>
        <v>#DIV/0!</v>
      </c>
      <c r="O35" s="137" t="e">
        <f t="shared" si="6"/>
        <v>#DIV/0!</v>
      </c>
      <c r="P35" s="137" t="e">
        <f t="shared" si="6"/>
        <v>#DIV/0!</v>
      </c>
      <c r="Q35" s="51"/>
    </row>
    <row r="36" spans="1:17" x14ac:dyDescent="0.25">
      <c r="A36" s="50"/>
      <c r="B36" s="21" t="s">
        <v>142</v>
      </c>
      <c r="C36" s="137">
        <v>0</v>
      </c>
      <c r="D36" s="137" t="e">
        <f t="shared" ref="D36:P36" si="7">($M7-($H7*D35)-($F7*D34)-($D7*D33))/$J7</f>
        <v>#DIV/0!</v>
      </c>
      <c r="E36" s="137" t="e">
        <f t="shared" si="7"/>
        <v>#DIV/0!</v>
      </c>
      <c r="F36" s="137" t="e">
        <f t="shared" si="7"/>
        <v>#DIV/0!</v>
      </c>
      <c r="G36" s="137" t="e">
        <f t="shared" si="7"/>
        <v>#DIV/0!</v>
      </c>
      <c r="H36" s="137" t="e">
        <f t="shared" si="7"/>
        <v>#DIV/0!</v>
      </c>
      <c r="I36" s="137" t="e">
        <f t="shared" si="7"/>
        <v>#DIV/0!</v>
      </c>
      <c r="J36" s="137" t="e">
        <f t="shared" si="7"/>
        <v>#DIV/0!</v>
      </c>
      <c r="K36" s="137" t="e">
        <f t="shared" si="7"/>
        <v>#DIV/0!</v>
      </c>
      <c r="L36" s="137" t="e">
        <f t="shared" si="7"/>
        <v>#DIV/0!</v>
      </c>
      <c r="M36" s="137" t="e">
        <f t="shared" si="7"/>
        <v>#DIV/0!</v>
      </c>
      <c r="N36" s="137" t="e">
        <f t="shared" si="7"/>
        <v>#DIV/0!</v>
      </c>
      <c r="O36" s="137" t="e">
        <f t="shared" si="7"/>
        <v>#DIV/0!</v>
      </c>
      <c r="P36" s="137" t="e">
        <f t="shared" si="7"/>
        <v>#DIV/0!</v>
      </c>
      <c r="Q36" s="51"/>
    </row>
    <row r="37" spans="1:17" x14ac:dyDescent="0.25">
      <c r="A37" s="50"/>
      <c r="Q37" s="51"/>
    </row>
    <row r="38" spans="1:17" ht="15.75" thickBot="1" x14ac:dyDescent="0.3">
      <c r="A38" s="52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40"/>
    </row>
    <row r="39" spans="1:17" x14ac:dyDescent="0.25">
      <c r="C39" s="2"/>
      <c r="D39" s="2"/>
      <c r="E39" s="2"/>
      <c r="F39" s="2"/>
      <c r="G39" s="2"/>
      <c r="H39" s="2"/>
      <c r="I39" s="2"/>
      <c r="J39" s="2"/>
    </row>
    <row r="51" spans="1:1" hidden="1" x14ac:dyDescent="0.25">
      <c r="A51" t="s">
        <v>232</v>
      </c>
    </row>
  </sheetData>
  <mergeCells count="9">
    <mergeCell ref="A21:Q21"/>
    <mergeCell ref="A30:Q30"/>
    <mergeCell ref="J13:Q14"/>
    <mergeCell ref="J17:M17"/>
    <mergeCell ref="A1:Q1"/>
    <mergeCell ref="E10:L10"/>
    <mergeCell ref="E11:L11"/>
    <mergeCell ref="D3:M3"/>
    <mergeCell ref="B13:G13"/>
  </mergeCells>
  <phoneticPr fontId="16" type="noConversion"/>
  <hyperlinks>
    <hyperlink ref="F14" r:id="rId1" xr:uid="{9A792871-2B7D-4894-817D-66BDA874E2AA}"/>
    <hyperlink ref="F15:F17" r:id="rId2" display="\\" xr:uid="{EEF8FB96-E8F9-4FB8-B23F-2F6A4C8330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8299-4906-4987-81AC-62E99B93E1F2}">
  <sheetPr codeName="Sheet8"/>
  <dimension ref="A1:AB140"/>
  <sheetViews>
    <sheetView zoomScale="86" zoomScaleNormal="100" workbookViewId="0">
      <selection activeCell="B1" sqref="B1:AA1"/>
    </sheetView>
  </sheetViews>
  <sheetFormatPr defaultColWidth="0" defaultRowHeight="15" zeroHeight="1" x14ac:dyDescent="0.25"/>
  <cols>
    <col min="1" max="1" width="9.7109375" customWidth="1"/>
    <col min="2" max="2" width="8.5703125" customWidth="1"/>
    <col min="3" max="3" width="9.140625" customWidth="1"/>
    <col min="4" max="4" width="7.85546875" customWidth="1"/>
    <col min="5" max="5" width="8" customWidth="1"/>
    <col min="6" max="13" width="9.140625" customWidth="1"/>
    <col min="14" max="14" width="11.140625" customWidth="1"/>
    <col min="15" max="16" width="9.140625" customWidth="1"/>
    <col min="17" max="17" width="11.28515625" customWidth="1"/>
    <col min="18" max="18" width="12.42578125" customWidth="1"/>
    <col min="19" max="25" width="9.140625" customWidth="1"/>
    <col min="26" max="26" width="12.7109375" customWidth="1"/>
    <col min="27" max="28" width="9.140625" customWidth="1"/>
    <col min="29" max="16384" width="9.140625" hidden="1"/>
  </cols>
  <sheetData>
    <row r="1" spans="2:27" ht="26.25" thickBot="1" x14ac:dyDescent="0.45">
      <c r="B1" s="382" t="s">
        <v>157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4"/>
    </row>
    <row r="2" spans="2:27" ht="15.75" thickBot="1" x14ac:dyDescent="0.3">
      <c r="B2" s="47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9"/>
    </row>
    <row r="3" spans="2:27" ht="16.5" thickBot="1" x14ac:dyDescent="0.3">
      <c r="B3" s="50"/>
      <c r="J3" s="452" t="s">
        <v>306</v>
      </c>
      <c r="K3" s="453"/>
      <c r="L3" s="453"/>
      <c r="M3" s="453"/>
      <c r="N3" s="453"/>
      <c r="O3" s="453"/>
      <c r="P3" s="453"/>
      <c r="Q3" s="453"/>
      <c r="R3" s="453"/>
      <c r="S3" s="454"/>
      <c r="Y3" s="186"/>
      <c r="AA3" s="51"/>
    </row>
    <row r="4" spans="2:27" ht="18.75" x14ac:dyDescent="0.3">
      <c r="B4" s="50"/>
      <c r="J4" s="124">
        <v>2</v>
      </c>
      <c r="K4" s="243" t="s">
        <v>30</v>
      </c>
      <c r="L4" s="53">
        <v>4</v>
      </c>
      <c r="M4" s="243" t="s">
        <v>31</v>
      </c>
      <c r="N4" s="53">
        <v>-2</v>
      </c>
      <c r="O4" s="243" t="s">
        <v>141</v>
      </c>
      <c r="P4" s="53">
        <v>-2</v>
      </c>
      <c r="Q4" s="243" t="s">
        <v>142</v>
      </c>
      <c r="R4" s="108" t="s">
        <v>32</v>
      </c>
      <c r="S4" s="103">
        <v>-4</v>
      </c>
      <c r="X4" s="115"/>
      <c r="AA4" s="51"/>
    </row>
    <row r="5" spans="2:27" ht="18.75" x14ac:dyDescent="0.3">
      <c r="B5" s="50"/>
      <c r="J5" s="98">
        <v>1</v>
      </c>
      <c r="K5" s="242" t="s">
        <v>30</v>
      </c>
      <c r="L5" s="2">
        <v>2</v>
      </c>
      <c r="M5" s="242" t="s">
        <v>31</v>
      </c>
      <c r="N5" s="2">
        <v>4</v>
      </c>
      <c r="O5" s="242" t="s">
        <v>141</v>
      </c>
      <c r="P5" s="2">
        <v>-3</v>
      </c>
      <c r="Q5" s="242" t="s">
        <v>142</v>
      </c>
      <c r="R5" s="104" t="s">
        <v>32</v>
      </c>
      <c r="S5" s="99">
        <v>5</v>
      </c>
      <c r="AA5" s="51"/>
    </row>
    <row r="6" spans="2:27" ht="18.75" x14ac:dyDescent="0.3">
      <c r="B6" s="50"/>
      <c r="J6" s="98">
        <v>-3</v>
      </c>
      <c r="K6" s="242" t="s">
        <v>30</v>
      </c>
      <c r="L6" s="2">
        <v>-3</v>
      </c>
      <c r="M6" s="242" t="s">
        <v>31</v>
      </c>
      <c r="N6" s="2">
        <v>8</v>
      </c>
      <c r="O6" s="242" t="s">
        <v>141</v>
      </c>
      <c r="P6" s="2">
        <v>-2</v>
      </c>
      <c r="Q6" s="242" t="s">
        <v>142</v>
      </c>
      <c r="R6" s="104" t="s">
        <v>32</v>
      </c>
      <c r="S6" s="99">
        <v>7</v>
      </c>
      <c r="AA6" s="51"/>
    </row>
    <row r="7" spans="2:27" ht="19.5" thickBot="1" x14ac:dyDescent="0.35">
      <c r="B7" s="50"/>
      <c r="J7" s="100">
        <v>-1</v>
      </c>
      <c r="K7" s="244" t="s">
        <v>30</v>
      </c>
      <c r="L7" s="101">
        <v>1</v>
      </c>
      <c r="M7" s="244" t="s">
        <v>31</v>
      </c>
      <c r="N7" s="101">
        <v>6</v>
      </c>
      <c r="O7" s="244" t="s">
        <v>141</v>
      </c>
      <c r="P7" s="101">
        <v>-3</v>
      </c>
      <c r="Q7" s="244" t="s">
        <v>142</v>
      </c>
      <c r="R7" s="245" t="s">
        <v>32</v>
      </c>
      <c r="S7" s="102">
        <v>7</v>
      </c>
      <c r="AA7" s="51"/>
    </row>
    <row r="8" spans="2:27" x14ac:dyDescent="0.25">
      <c r="B8" s="50"/>
      <c r="I8" s="2"/>
      <c r="J8" s="2"/>
      <c r="K8" s="2"/>
      <c r="L8" s="2"/>
      <c r="M8" s="2"/>
      <c r="AA8" s="51"/>
    </row>
    <row r="9" spans="2:27" ht="15.75" thickBot="1" x14ac:dyDescent="0.3">
      <c r="B9" s="50"/>
      <c r="D9" s="2"/>
      <c r="E9" s="2"/>
      <c r="F9" s="2"/>
      <c r="AA9" s="51"/>
    </row>
    <row r="10" spans="2:27" ht="15.75" thickBot="1" x14ac:dyDescent="0.3">
      <c r="B10" s="50"/>
      <c r="J10" s="109" t="s">
        <v>270</v>
      </c>
      <c r="K10" s="110" t="s">
        <v>103</v>
      </c>
      <c r="L10" s="44" t="s">
        <v>188</v>
      </c>
      <c r="M10" s="45"/>
      <c r="N10" s="130" t="str">
        <f>IF($R15=$R17, "Solvable", "Unsolvable")</f>
        <v>Solvable</v>
      </c>
      <c r="O10" s="45" t="str">
        <f>IF(R15=R17, IF($R17=$R19, "and has Unique Solution.", "and has Multiple Solutions."),".")</f>
        <v>and has Unique Solution.</v>
      </c>
      <c r="P10" s="45"/>
      <c r="Q10" s="46"/>
      <c r="AA10" s="51"/>
    </row>
    <row r="11" spans="2:27" x14ac:dyDescent="0.25">
      <c r="B11" s="50"/>
      <c r="AA11" s="51"/>
    </row>
    <row r="12" spans="2:27" ht="17.25" x14ac:dyDescent="0.3">
      <c r="B12" s="587" t="s">
        <v>269</v>
      </c>
      <c r="C12" s="588"/>
      <c r="D12" s="588"/>
      <c r="E12" s="588"/>
      <c r="F12" s="588"/>
      <c r="G12" s="588"/>
      <c r="H12" s="588"/>
      <c r="I12" s="588"/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9"/>
    </row>
    <row r="13" spans="2:27" ht="15.75" x14ac:dyDescent="0.25">
      <c r="B13" s="188"/>
      <c r="C13" s="125"/>
      <c r="D13" s="125"/>
      <c r="E13" s="125"/>
      <c r="F13" s="125"/>
      <c r="G13" s="125"/>
      <c r="H13" s="125"/>
      <c r="I13" s="125"/>
      <c r="J13" s="125"/>
      <c r="AA13" s="51"/>
    </row>
    <row r="14" spans="2:27" ht="15.75" thickBot="1" x14ac:dyDescent="0.3">
      <c r="B14" s="50"/>
      <c r="AA14" s="51"/>
    </row>
    <row r="15" spans="2:27" ht="16.5" thickBot="1" x14ac:dyDescent="0.3">
      <c r="B15" s="50"/>
      <c r="C15" s="505" t="s">
        <v>179</v>
      </c>
      <c r="D15" s="506"/>
      <c r="E15" s="506"/>
      <c r="F15" s="506"/>
      <c r="G15" s="506"/>
      <c r="H15" s="507"/>
      <c r="J15" s="505" t="s">
        <v>180</v>
      </c>
      <c r="K15" s="506"/>
      <c r="L15" s="506"/>
      <c r="M15" s="506"/>
      <c r="N15" s="506"/>
      <c r="O15" s="507"/>
      <c r="Q15" s="69" t="s">
        <v>182</v>
      </c>
      <c r="R15" s="70">
        <f>$F$97</f>
        <v>4</v>
      </c>
      <c r="T15" s="590" t="s">
        <v>193</v>
      </c>
      <c r="U15" s="591"/>
      <c r="V15" s="591"/>
      <c r="W15" s="591"/>
      <c r="X15" s="591"/>
      <c r="Y15" s="592"/>
      <c r="AA15" s="51"/>
    </row>
    <row r="16" spans="2:27" ht="15.75" thickBot="1" x14ac:dyDescent="0.3">
      <c r="B16" s="50"/>
      <c r="C16" s="192">
        <f>J4</f>
        <v>2</v>
      </c>
      <c r="D16" s="193">
        <f>L4</f>
        <v>4</v>
      </c>
      <c r="E16" s="193">
        <f>N4</f>
        <v>-2</v>
      </c>
      <c r="F16" s="193">
        <f>P4</f>
        <v>-2</v>
      </c>
      <c r="G16" s="194" t="s">
        <v>39</v>
      </c>
      <c r="H16" s="195">
        <f>S4</f>
        <v>-4</v>
      </c>
      <c r="J16" s="192">
        <f t="shared" ref="J16:O19" si="0">E129</f>
        <v>1</v>
      </c>
      <c r="K16" s="193">
        <f t="shared" si="0"/>
        <v>0</v>
      </c>
      <c r="L16" s="193">
        <f t="shared" si="0"/>
        <v>0</v>
      </c>
      <c r="M16" s="193">
        <f t="shared" si="0"/>
        <v>0</v>
      </c>
      <c r="N16" s="193" t="str">
        <f t="shared" si="0"/>
        <v>\\</v>
      </c>
      <c r="O16" s="195">
        <f t="shared" si="0"/>
        <v>1.0000000000000013</v>
      </c>
      <c r="T16" s="593" t="s">
        <v>185</v>
      </c>
      <c r="U16" s="594"/>
      <c r="V16" s="594"/>
      <c r="W16" s="594"/>
      <c r="X16" s="594"/>
      <c r="Y16" s="595"/>
      <c r="AA16" s="51"/>
    </row>
    <row r="17" spans="2:27" ht="15.75" thickBot="1" x14ac:dyDescent="0.3">
      <c r="B17" s="50"/>
      <c r="C17" s="196">
        <f>J5</f>
        <v>1</v>
      </c>
      <c r="D17" s="197">
        <f>L5</f>
        <v>2</v>
      </c>
      <c r="E17" s="197">
        <f>N5</f>
        <v>4</v>
      </c>
      <c r="F17" s="197">
        <f>P5</f>
        <v>-3</v>
      </c>
      <c r="G17" s="198" t="s">
        <v>39</v>
      </c>
      <c r="H17" s="199">
        <f>S5</f>
        <v>5</v>
      </c>
      <c r="I17" s="2" t="s">
        <v>158</v>
      </c>
      <c r="J17" s="196">
        <f t="shared" si="0"/>
        <v>0</v>
      </c>
      <c r="K17" s="197">
        <f t="shared" si="0"/>
        <v>1</v>
      </c>
      <c r="L17" s="197">
        <f t="shared" si="0"/>
        <v>0</v>
      </c>
      <c r="M17" s="197">
        <f t="shared" si="0"/>
        <v>0</v>
      </c>
      <c r="N17" s="197" t="str">
        <f t="shared" si="0"/>
        <v>\\</v>
      </c>
      <c r="O17" s="199">
        <f t="shared" si="0"/>
        <v>2</v>
      </c>
      <c r="P17" s="2" t="s">
        <v>181</v>
      </c>
      <c r="Q17" s="69" t="s">
        <v>271</v>
      </c>
      <c r="R17" s="70">
        <f>$E$136</f>
        <v>4</v>
      </c>
      <c r="T17" s="596" t="s">
        <v>187</v>
      </c>
      <c r="U17" s="597"/>
      <c r="V17" s="597"/>
      <c r="W17" s="597"/>
      <c r="X17" s="597"/>
      <c r="Y17" s="598"/>
      <c r="AA17" s="51"/>
    </row>
    <row r="18" spans="2:27" ht="15.75" thickBot="1" x14ac:dyDescent="0.3">
      <c r="B18" s="50"/>
      <c r="C18" s="196">
        <f>J6</f>
        <v>-3</v>
      </c>
      <c r="D18" s="197">
        <f>L6</f>
        <v>-3</v>
      </c>
      <c r="E18" s="197">
        <f>N6</f>
        <v>8</v>
      </c>
      <c r="F18" s="197">
        <f>P6</f>
        <v>-2</v>
      </c>
      <c r="G18" s="198" t="s">
        <v>39</v>
      </c>
      <c r="H18" s="199">
        <f>S6</f>
        <v>7</v>
      </c>
      <c r="J18" s="196">
        <f t="shared" si="0"/>
        <v>0</v>
      </c>
      <c r="K18" s="197">
        <f t="shared" si="0"/>
        <v>0</v>
      </c>
      <c r="L18" s="197">
        <f t="shared" si="0"/>
        <v>1</v>
      </c>
      <c r="M18" s="197">
        <f t="shared" si="0"/>
        <v>0</v>
      </c>
      <c r="N18" s="197" t="str">
        <f t="shared" si="0"/>
        <v>\\</v>
      </c>
      <c r="O18" s="199">
        <f t="shared" si="0"/>
        <v>3</v>
      </c>
      <c r="T18" s="596" t="s">
        <v>184</v>
      </c>
      <c r="U18" s="597"/>
      <c r="V18" s="597"/>
      <c r="W18" s="597"/>
      <c r="X18" s="597"/>
      <c r="Y18" s="598"/>
      <c r="AA18" s="51"/>
    </row>
    <row r="19" spans="2:27" ht="15.75" thickBot="1" x14ac:dyDescent="0.3">
      <c r="B19" s="50"/>
      <c r="C19" s="200">
        <f>J7</f>
        <v>-1</v>
      </c>
      <c r="D19" s="201">
        <f>L7</f>
        <v>1</v>
      </c>
      <c r="E19" s="201">
        <f>N7</f>
        <v>6</v>
      </c>
      <c r="F19" s="201">
        <f>P7</f>
        <v>-3</v>
      </c>
      <c r="G19" s="202" t="s">
        <v>39</v>
      </c>
      <c r="H19" s="203">
        <f>S7</f>
        <v>7</v>
      </c>
      <c r="J19" s="200">
        <f t="shared" si="0"/>
        <v>0</v>
      </c>
      <c r="K19" s="201">
        <f t="shared" si="0"/>
        <v>0</v>
      </c>
      <c r="L19" s="201">
        <f t="shared" si="0"/>
        <v>0</v>
      </c>
      <c r="M19" s="201">
        <f t="shared" si="0"/>
        <v>1</v>
      </c>
      <c r="N19" s="201" t="str">
        <f t="shared" si="0"/>
        <v>\\</v>
      </c>
      <c r="O19" s="203">
        <f t="shared" si="0"/>
        <v>4</v>
      </c>
      <c r="Q19" s="69" t="s">
        <v>183</v>
      </c>
      <c r="R19" s="70" cm="1">
        <f t="array" ref="R19">IF(SUM(ABS(F16:F19))=0,IF(SUM(ABS(E16:E19))=0,IF(SUM(ABS(D16:D19))=0,IF(SUM(ABS(C16:C19))=0,0,1),2),3),4)</f>
        <v>4</v>
      </c>
      <c r="T19" s="599" t="s">
        <v>186</v>
      </c>
      <c r="U19" s="600"/>
      <c r="V19" s="600"/>
      <c r="W19" s="600"/>
      <c r="X19" s="600"/>
      <c r="Y19" s="601"/>
      <c r="AA19" s="51"/>
    </row>
    <row r="20" spans="2:27" ht="15.75" thickBot="1" x14ac:dyDescent="0.3">
      <c r="B20" s="50"/>
      <c r="C20" s="552" t="s">
        <v>34</v>
      </c>
      <c r="D20" s="553"/>
      <c r="E20" s="553"/>
      <c r="F20" s="554"/>
      <c r="G20" s="38" t="s">
        <v>39</v>
      </c>
      <c r="H20" s="132" t="s">
        <v>35</v>
      </c>
      <c r="J20" s="552" t="s">
        <v>34</v>
      </c>
      <c r="K20" s="553"/>
      <c r="L20" s="553"/>
      <c r="M20" s="554"/>
      <c r="N20" s="132" t="s">
        <v>39</v>
      </c>
      <c r="O20" s="132" t="s">
        <v>35</v>
      </c>
      <c r="AA20" s="51"/>
    </row>
    <row r="21" spans="2:27" x14ac:dyDescent="0.25">
      <c r="B21" s="50"/>
      <c r="C21" s="2"/>
      <c r="D21" s="2"/>
      <c r="E21" s="2"/>
      <c r="F21" s="2"/>
      <c r="G21" s="187"/>
      <c r="H21" s="2"/>
      <c r="V21" s="191"/>
      <c r="AA21" s="51"/>
    </row>
    <row r="22" spans="2:27" x14ac:dyDescent="0.25">
      <c r="B22" s="50"/>
      <c r="C22" s="2"/>
      <c r="D22" s="2"/>
      <c r="E22" s="2"/>
      <c r="F22" s="2"/>
      <c r="G22" s="187"/>
      <c r="H22" s="2"/>
      <c r="V22" s="191"/>
      <c r="AA22" s="51"/>
    </row>
    <row r="23" spans="2:27" ht="15" customHeight="1" x14ac:dyDescent="0.25">
      <c r="B23" s="584" t="s">
        <v>178</v>
      </c>
      <c r="C23" s="585"/>
      <c r="D23" s="585"/>
      <c r="E23" s="585"/>
      <c r="F23" s="585"/>
      <c r="G23" s="585"/>
      <c r="H23" s="585"/>
      <c r="I23" s="585"/>
      <c r="J23" s="585"/>
      <c r="K23" s="585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Z23" s="585"/>
      <c r="AA23" s="586"/>
    </row>
    <row r="24" spans="2:27" ht="15" customHeight="1" x14ac:dyDescent="0.25">
      <c r="B24" s="50"/>
      <c r="AA24" s="51"/>
    </row>
    <row r="25" spans="2:27" ht="15" customHeight="1" x14ac:dyDescent="0.3">
      <c r="B25" s="50"/>
      <c r="C25" s="561" t="s">
        <v>281</v>
      </c>
      <c r="D25" s="561"/>
      <c r="E25" s="561"/>
      <c r="F25" s="561"/>
      <c r="G25" s="561"/>
      <c r="H25" s="561"/>
      <c r="I25" s="561"/>
      <c r="J25" s="561"/>
      <c r="AA25" s="51"/>
    </row>
    <row r="26" spans="2:27" ht="15.75" thickBot="1" x14ac:dyDescent="0.3">
      <c r="B26" s="50"/>
      <c r="D26" s="2"/>
      <c r="E26" s="2"/>
      <c r="F26" s="2"/>
      <c r="G26" s="2"/>
      <c r="H26" s="187"/>
      <c r="I26" s="2"/>
      <c r="AA26" s="51"/>
    </row>
    <row r="27" spans="2:27" x14ac:dyDescent="0.25">
      <c r="B27" s="50"/>
      <c r="D27" s="124">
        <f>IF($C16=0,IF($C17=0,IF($C18=0,IF($C19=0,C16,C19),C18),C17),C16)</f>
        <v>2</v>
      </c>
      <c r="E27" s="53">
        <f>IF($C16=0,IF($C17=0,IF($C18=0,IF($C19=0,D16,D19),D18),D17),D16)</f>
        <v>4</v>
      </c>
      <c r="F27" s="53">
        <f>IF($C16=0,IF($C17=0,IF($C18=0,IF($C19=0,E16,E19),E18),E17),E16)</f>
        <v>-2</v>
      </c>
      <c r="G27" s="53">
        <f>IF($C16=0,IF($C17=0,IF($C18=0,IF($C19=0,F16,F19),F18),F17),F16)</f>
        <v>-2</v>
      </c>
      <c r="H27" s="189" t="s">
        <v>39</v>
      </c>
      <c r="I27" s="103">
        <f>IF($C16=0,IF($C17=0,IF($C18=0,IF($C19=0,H16,H19),H18),H17),H16)</f>
        <v>-4</v>
      </c>
      <c r="J27" s="568" t="s">
        <v>158</v>
      </c>
      <c r="K27" s="569" t="s">
        <v>159</v>
      </c>
      <c r="L27" s="569"/>
      <c r="M27" s="569"/>
      <c r="N27" s="569"/>
      <c r="O27" s="569"/>
      <c r="P27" s="117"/>
      <c r="AA27" s="51"/>
    </row>
    <row r="28" spans="2:27" x14ac:dyDescent="0.25">
      <c r="B28" s="50"/>
      <c r="D28" s="98">
        <f>IF($C16=0,IF($C17=0,IF($C18=0,IF($C19=0,C17,C17),C17),C16),C17)</f>
        <v>1</v>
      </c>
      <c r="E28" s="2">
        <f>IF($C16=0,IF($C17=0,IF($C18=0,IF($C19=0,D17,D17),D17),D16),D17)</f>
        <v>2</v>
      </c>
      <c r="F28" s="2">
        <f>IF($C16=0,IF($C17=0,IF($C18=0,IF($C19=0,E17,E17),E17),E16),E17)</f>
        <v>4</v>
      </c>
      <c r="G28" s="2">
        <f>IF($C16=0,IF($C17=0,IF($C18=0,IF($C19=0,F17,F17),F17),F16),F17)</f>
        <v>-3</v>
      </c>
      <c r="H28" s="187" t="s">
        <v>39</v>
      </c>
      <c r="I28" s="99">
        <f>IF($C16=0,IF($C17=0,IF($C18=0,IF($C19=0,H17,H17),H17),H16),H17)</f>
        <v>5</v>
      </c>
      <c r="J28" s="568"/>
      <c r="K28" s="569"/>
      <c r="L28" s="569"/>
      <c r="M28" s="569"/>
      <c r="N28" s="569"/>
      <c r="O28" s="569"/>
      <c r="P28" s="117"/>
      <c r="AA28" s="51"/>
    </row>
    <row r="29" spans="2:27" x14ac:dyDescent="0.25">
      <c r="B29" s="50"/>
      <c r="D29" s="98">
        <f>IF($C16=0,IF($C17=0,IF($C18=0,IF($C19=0,C18,C18),C16),C18),C18)</f>
        <v>-3</v>
      </c>
      <c r="E29" s="2">
        <f>IF($C16=0,IF($C17=0,IF($C18=0,IF($C19=0,D18,D18),D16),D18),D18)</f>
        <v>-3</v>
      </c>
      <c r="F29" s="2">
        <f>IF($C16=0,IF($C17=0,IF($C18=0,IF($C19=0,E18,E18),E16),E18),E18)</f>
        <v>8</v>
      </c>
      <c r="G29" s="2">
        <f>IF($C16=0,IF($C17=0,IF($C18=0,IF($C19=0,F18,F18),F16),F18),F18)</f>
        <v>-2</v>
      </c>
      <c r="H29" s="187" t="s">
        <v>39</v>
      </c>
      <c r="I29" s="99">
        <f>IF($C16=0,IF($C17=0,IF($C18=0,IF($C19=0,H18,H18),H16),H18),H18)</f>
        <v>7</v>
      </c>
      <c r="J29" s="568"/>
      <c r="K29" s="569"/>
      <c r="L29" s="569"/>
      <c r="M29" s="569"/>
      <c r="N29" s="569"/>
      <c r="O29" s="569"/>
      <c r="P29" s="117"/>
      <c r="AA29" s="51"/>
    </row>
    <row r="30" spans="2:27" ht="15.75" thickBot="1" x14ac:dyDescent="0.3">
      <c r="B30" s="50"/>
      <c r="D30" s="100">
        <f>IF($C16=0,IF($C17=0,IF($C18=0,IF($C19=0,C19,C16),C19),C19),C19)</f>
        <v>-1</v>
      </c>
      <c r="E30" s="101">
        <f>IF($C16=0,IF($C17=0,IF($C18=0,IF($C19=0,D19,D16),D19),D19),D19)</f>
        <v>1</v>
      </c>
      <c r="F30" s="101">
        <f>IF($C16=0,IF($C17=0,IF($C18=0,IF($C19=0,E19,E16),E19),E19),E19)</f>
        <v>6</v>
      </c>
      <c r="G30" s="101">
        <f>IF($C16=0,IF($C17=0,IF($C18=0,IF($C19=0,F19,F16),F19),F19),F19)</f>
        <v>-3</v>
      </c>
      <c r="H30" s="190" t="s">
        <v>39</v>
      </c>
      <c r="I30" s="102">
        <f>IF($C16=0,IF($C17=0,IF($C18=0,IF($C19=0,H19,H16),H19),H19),H19)</f>
        <v>7</v>
      </c>
      <c r="J30" s="568"/>
      <c r="K30" s="569"/>
      <c r="L30" s="569"/>
      <c r="M30" s="569"/>
      <c r="N30" s="569"/>
      <c r="O30" s="569"/>
      <c r="P30" s="117"/>
      <c r="AA30" s="51"/>
    </row>
    <row r="31" spans="2:27" ht="15.75" thickBot="1" x14ac:dyDescent="0.3">
      <c r="B31" s="50"/>
      <c r="D31" s="2"/>
      <c r="E31" s="2"/>
      <c r="F31" s="2"/>
      <c r="G31" s="2"/>
      <c r="H31" s="187"/>
      <c r="I31" s="2"/>
      <c r="K31" s="117"/>
      <c r="L31" s="117"/>
      <c r="M31" s="117"/>
      <c r="N31" s="117"/>
      <c r="O31" s="117"/>
      <c r="P31" s="117"/>
      <c r="AA31" s="51"/>
    </row>
    <row r="32" spans="2:27" x14ac:dyDescent="0.25">
      <c r="B32" s="50"/>
      <c r="D32" s="124">
        <f>IF($D27&lt;&gt;0,D27/$D27,D27)</f>
        <v>1</v>
      </c>
      <c r="E32" s="53">
        <f>IF($D27&lt;&gt;0,E27/$D27,E27)</f>
        <v>2</v>
      </c>
      <c r="F32" s="53">
        <f>IF($D27&lt;&gt;0,F27/$D27,F27)</f>
        <v>-1</v>
      </c>
      <c r="G32" s="53">
        <f>IF($D27&lt;&gt;0,G27/$D27,G27)</f>
        <v>-1</v>
      </c>
      <c r="H32" s="53" t="str">
        <f t="shared" ref="H32" si="1">H27</f>
        <v>\\</v>
      </c>
      <c r="I32" s="103">
        <f>IF($D27&lt;&gt;0,I27/$D27,I27)</f>
        <v>-2</v>
      </c>
      <c r="J32" s="568" t="s">
        <v>158</v>
      </c>
      <c r="K32" s="569" t="s">
        <v>276</v>
      </c>
      <c r="L32" s="569"/>
      <c r="M32" s="569"/>
      <c r="N32" s="569"/>
      <c r="O32" s="569"/>
      <c r="P32" s="117"/>
      <c r="AA32" s="51"/>
    </row>
    <row r="33" spans="2:27" x14ac:dyDescent="0.25">
      <c r="B33" s="50"/>
      <c r="D33" s="98">
        <f>D28</f>
        <v>1</v>
      </c>
      <c r="E33" s="2">
        <f t="shared" ref="E33:I33" si="2">E28</f>
        <v>2</v>
      </c>
      <c r="F33" s="2">
        <f t="shared" si="2"/>
        <v>4</v>
      </c>
      <c r="G33" s="2">
        <f t="shared" si="2"/>
        <v>-3</v>
      </c>
      <c r="H33" s="2" t="str">
        <f t="shared" si="2"/>
        <v>\\</v>
      </c>
      <c r="I33" s="99">
        <f t="shared" si="2"/>
        <v>5</v>
      </c>
      <c r="J33" s="568"/>
      <c r="K33" s="569"/>
      <c r="L33" s="569"/>
      <c r="M33" s="569"/>
      <c r="N33" s="569"/>
      <c r="O33" s="569"/>
      <c r="P33" s="117"/>
      <c r="AA33" s="51"/>
    </row>
    <row r="34" spans="2:27" x14ac:dyDescent="0.25">
      <c r="B34" s="50"/>
      <c r="D34" s="98">
        <f>D29</f>
        <v>-3</v>
      </c>
      <c r="E34" s="2">
        <f t="shared" ref="E34:I34" si="3">E29</f>
        <v>-3</v>
      </c>
      <c r="F34" s="2">
        <f t="shared" si="3"/>
        <v>8</v>
      </c>
      <c r="G34" s="2">
        <f t="shared" si="3"/>
        <v>-2</v>
      </c>
      <c r="H34" s="2" t="str">
        <f t="shared" si="3"/>
        <v>\\</v>
      </c>
      <c r="I34" s="99">
        <f t="shared" si="3"/>
        <v>7</v>
      </c>
      <c r="J34" s="568"/>
      <c r="K34" s="569"/>
      <c r="L34" s="569"/>
      <c r="M34" s="569"/>
      <c r="N34" s="569"/>
      <c r="O34" s="569"/>
      <c r="P34" s="117"/>
      <c r="AA34" s="51"/>
    </row>
    <row r="35" spans="2:27" ht="15.75" thickBot="1" x14ac:dyDescent="0.3">
      <c r="B35" s="50"/>
      <c r="D35" s="100">
        <f>D30</f>
        <v>-1</v>
      </c>
      <c r="E35" s="101">
        <f t="shared" ref="E35:I35" si="4">E30</f>
        <v>1</v>
      </c>
      <c r="F35" s="101">
        <f t="shared" si="4"/>
        <v>6</v>
      </c>
      <c r="G35" s="101">
        <f t="shared" si="4"/>
        <v>-3</v>
      </c>
      <c r="H35" s="101" t="str">
        <f t="shared" si="4"/>
        <v>\\</v>
      </c>
      <c r="I35" s="102">
        <f t="shared" si="4"/>
        <v>7</v>
      </c>
      <c r="J35" s="568"/>
      <c r="K35" s="569"/>
      <c r="L35" s="569"/>
      <c r="M35" s="569"/>
      <c r="N35" s="569"/>
      <c r="O35" s="569"/>
      <c r="P35" s="117"/>
      <c r="AA35" s="51"/>
    </row>
    <row r="36" spans="2:27" ht="15.75" thickBot="1" x14ac:dyDescent="0.3">
      <c r="B36" s="50"/>
      <c r="H36" s="2"/>
      <c r="K36" s="117"/>
      <c r="L36" s="117"/>
      <c r="M36" s="117"/>
      <c r="N36" s="117"/>
      <c r="O36" s="117"/>
      <c r="P36" s="117"/>
      <c r="AA36" s="51"/>
    </row>
    <row r="37" spans="2:27" x14ac:dyDescent="0.25">
      <c r="B37" s="50"/>
      <c r="D37" s="124">
        <f>D32</f>
        <v>1</v>
      </c>
      <c r="E37" s="53">
        <f t="shared" ref="E37:I37" si="5">E32</f>
        <v>2</v>
      </c>
      <c r="F37" s="53">
        <f t="shared" si="5"/>
        <v>-1</v>
      </c>
      <c r="G37" s="53">
        <f t="shared" si="5"/>
        <v>-1</v>
      </c>
      <c r="H37" s="53" t="str">
        <f t="shared" si="5"/>
        <v>\\</v>
      </c>
      <c r="I37" s="103">
        <f t="shared" si="5"/>
        <v>-2</v>
      </c>
      <c r="J37" s="568" t="s">
        <v>158</v>
      </c>
      <c r="K37" s="569" t="s">
        <v>67</v>
      </c>
      <c r="L37" s="569"/>
      <c r="M37" s="569"/>
      <c r="N37" s="569"/>
      <c r="O37" s="569"/>
      <c r="P37" s="117"/>
      <c r="AA37" s="51"/>
    </row>
    <row r="38" spans="2:27" x14ac:dyDescent="0.25">
      <c r="B38" s="50"/>
      <c r="D38" s="98">
        <f>(D33-($D33*D32))</f>
        <v>0</v>
      </c>
      <c r="E38" s="2">
        <f>(E33-($D33*E32))</f>
        <v>0</v>
      </c>
      <c r="F38" s="2">
        <f>(F33-($D33*F32))</f>
        <v>5</v>
      </c>
      <c r="G38" s="2">
        <f>(G33-($D33*G32))</f>
        <v>-2</v>
      </c>
      <c r="H38" s="2" t="str">
        <f t="shared" ref="H38" si="6">H33</f>
        <v>\\</v>
      </c>
      <c r="I38" s="99">
        <f>(I33-($D33*I32))</f>
        <v>7</v>
      </c>
      <c r="J38" s="568"/>
      <c r="K38" s="569"/>
      <c r="L38" s="569"/>
      <c r="M38" s="569"/>
      <c r="N38" s="569"/>
      <c r="O38" s="569"/>
      <c r="P38" s="117"/>
      <c r="AA38" s="51"/>
    </row>
    <row r="39" spans="2:27" x14ac:dyDescent="0.25">
      <c r="B39" s="50"/>
      <c r="D39" s="98">
        <f>(D34-($D34*D32))</f>
        <v>0</v>
      </c>
      <c r="E39" s="2">
        <f>(E34-($D34*E32))</f>
        <v>3</v>
      </c>
      <c r="F39" s="2">
        <f>(F34-($D34*F32))</f>
        <v>5</v>
      </c>
      <c r="G39" s="2">
        <f>(G34-($D34*G32))</f>
        <v>-5</v>
      </c>
      <c r="H39" s="2" t="str">
        <f t="shared" ref="H39" si="7">H34</f>
        <v>\\</v>
      </c>
      <c r="I39" s="99">
        <f>(I34-($D34*I32))</f>
        <v>1</v>
      </c>
      <c r="J39" s="568"/>
      <c r="K39" s="569"/>
      <c r="L39" s="569"/>
      <c r="M39" s="569"/>
      <c r="N39" s="569"/>
      <c r="O39" s="569"/>
      <c r="P39" s="117"/>
      <c r="AA39" s="51"/>
    </row>
    <row r="40" spans="2:27" ht="15.75" thickBot="1" x14ac:dyDescent="0.3">
      <c r="B40" s="50"/>
      <c r="D40" s="100">
        <f>(D35-($D35*D32))</f>
        <v>0</v>
      </c>
      <c r="E40" s="101">
        <f>(E35-($D35*E32))</f>
        <v>3</v>
      </c>
      <c r="F40" s="101">
        <f>(F35-($D35*F32))</f>
        <v>5</v>
      </c>
      <c r="G40" s="101">
        <f>(G35-($D35*G32))</f>
        <v>-4</v>
      </c>
      <c r="H40" s="101" t="str">
        <f t="shared" ref="H40" si="8">H35</f>
        <v>\\</v>
      </c>
      <c r="I40" s="102">
        <f>(I35-($D35*I32))</f>
        <v>5</v>
      </c>
      <c r="J40" s="568"/>
      <c r="K40" s="569"/>
      <c r="L40" s="569"/>
      <c r="M40" s="569"/>
      <c r="N40" s="569"/>
      <c r="O40" s="569"/>
      <c r="P40" s="117"/>
      <c r="AA40" s="51"/>
    </row>
    <row r="41" spans="2:27" ht="15.75" thickBot="1" x14ac:dyDescent="0.3">
      <c r="B41" s="50"/>
      <c r="K41" s="117"/>
      <c r="L41" s="117"/>
      <c r="M41" s="117"/>
      <c r="N41" s="117"/>
      <c r="O41" s="117"/>
      <c r="P41" s="117"/>
      <c r="AA41" s="51"/>
    </row>
    <row r="42" spans="2:27" x14ac:dyDescent="0.25">
      <c r="B42" s="50"/>
      <c r="D42" s="124">
        <f>D37</f>
        <v>1</v>
      </c>
      <c r="E42" s="53">
        <f t="shared" ref="E42:H42" si="9">E37</f>
        <v>2</v>
      </c>
      <c r="F42" s="53">
        <f t="shared" si="9"/>
        <v>-1</v>
      </c>
      <c r="G42" s="53">
        <f t="shared" si="9"/>
        <v>-1</v>
      </c>
      <c r="H42" s="53" t="str">
        <f t="shared" si="9"/>
        <v>\\</v>
      </c>
      <c r="I42" s="103">
        <f>I37</f>
        <v>-2</v>
      </c>
      <c r="J42" s="568" t="s">
        <v>158</v>
      </c>
      <c r="K42" s="569" t="s">
        <v>272</v>
      </c>
      <c r="L42" s="569"/>
      <c r="M42" s="569"/>
      <c r="N42" s="569"/>
      <c r="O42" s="569"/>
      <c r="P42" s="117"/>
      <c r="AA42" s="51"/>
    </row>
    <row r="43" spans="2:27" x14ac:dyDescent="0.25">
      <c r="B43" s="50"/>
      <c r="D43" s="98">
        <f>D38</f>
        <v>0</v>
      </c>
      <c r="E43" s="2">
        <f>IF($E38=0,IF($E39=0,IF($E40=0,E38,E40),E39),E38)</f>
        <v>3</v>
      </c>
      <c r="F43" s="2">
        <f>IF($E38=0,IF($E39=0,IF($E40=0,F38,F40),F39),F38)</f>
        <v>5</v>
      </c>
      <c r="G43" s="2">
        <f>IF($E38=0,IF($E39=0,IF($E40=0,G38,G40),G39),G38)</f>
        <v>-5</v>
      </c>
      <c r="H43" s="2" t="str">
        <f>IF($E38=0,IF($E39=0,IF($E40=0,H38,H40),H39),H38)</f>
        <v>\\</v>
      </c>
      <c r="I43" s="99">
        <f>IF($E38=0,IF($E39=0,IF($E40=0,I38,I40),I39),I38)</f>
        <v>1</v>
      </c>
      <c r="J43" s="568"/>
      <c r="K43" s="569"/>
      <c r="L43" s="569"/>
      <c r="M43" s="569"/>
      <c r="N43" s="569"/>
      <c r="O43" s="569"/>
      <c r="P43" s="117"/>
      <c r="AA43" s="51"/>
    </row>
    <row r="44" spans="2:27" x14ac:dyDescent="0.25">
      <c r="B44" s="50"/>
      <c r="D44" s="98">
        <f>D39</f>
        <v>0</v>
      </c>
      <c r="E44" s="2">
        <f>IF($E38=0,IF($E39=0,IF($E40=0,E39,E39),E38),E39)</f>
        <v>0</v>
      </c>
      <c r="F44" s="2">
        <f>IF($E38=0,IF($E39=0,IF($E40=0,F39,F39),F38),F39)</f>
        <v>5</v>
      </c>
      <c r="G44" s="2">
        <f>IF($E38=0,IF($E39=0,IF($E40=0,G39,G39),G38),G39)</f>
        <v>-2</v>
      </c>
      <c r="H44" s="2" t="str">
        <f>IF($E38=0,IF($E39=0,IF($E40=0,H39,H39),H38),H39)</f>
        <v>\\</v>
      </c>
      <c r="I44" s="99">
        <f>IF($E38=0,IF($E39=0,IF($E40=0,I39,I39),I38),I39)</f>
        <v>7</v>
      </c>
      <c r="J44" s="568"/>
      <c r="K44" s="569"/>
      <c r="L44" s="569"/>
      <c r="M44" s="569"/>
      <c r="N44" s="569"/>
      <c r="O44" s="569"/>
      <c r="P44" s="117"/>
      <c r="AA44" s="51"/>
    </row>
    <row r="45" spans="2:27" ht="15.75" thickBot="1" x14ac:dyDescent="0.3">
      <c r="B45" s="50"/>
      <c r="D45" s="100">
        <f>D40</f>
        <v>0</v>
      </c>
      <c r="E45" s="101">
        <f>IF($E38=0,IF($E39=0,IF($E40=0,E40,E38),E40),E40)</f>
        <v>3</v>
      </c>
      <c r="F45" s="101">
        <f>IF($E38=0,IF($E39=0,IF($E40=0,F40,F38),F40),F40)</f>
        <v>5</v>
      </c>
      <c r="G45" s="101">
        <f>IF($E38=0,IF($E39=0,IF($E40=0,G40,G38),G40),G40)</f>
        <v>-4</v>
      </c>
      <c r="H45" s="101" t="str">
        <f>IF($E38=0,IF($E39=0,IF($E40=0,H40,H38),H40),H40)</f>
        <v>\\</v>
      </c>
      <c r="I45" s="102">
        <f>IF($E38=0,IF($E39=0,IF($E40=0,I40,I38),I40),I40)</f>
        <v>5</v>
      </c>
      <c r="J45" s="568"/>
      <c r="K45" s="569"/>
      <c r="L45" s="569"/>
      <c r="M45" s="569"/>
      <c r="N45" s="569"/>
      <c r="O45" s="569"/>
      <c r="P45" s="117"/>
      <c r="AA45" s="51"/>
    </row>
    <row r="46" spans="2:27" ht="15.75" thickBot="1" x14ac:dyDescent="0.3">
      <c r="B46" s="50"/>
      <c r="H46" s="2"/>
      <c r="K46" s="117"/>
      <c r="L46" s="117"/>
      <c r="M46" s="117"/>
      <c r="N46" s="117"/>
      <c r="O46" s="117"/>
      <c r="P46" s="117"/>
      <c r="AA46" s="51"/>
    </row>
    <row r="47" spans="2:27" x14ac:dyDescent="0.25">
      <c r="B47" s="50"/>
      <c r="D47" s="124">
        <f>D42</f>
        <v>1</v>
      </c>
      <c r="E47" s="53">
        <f t="shared" ref="E47:I48" si="10">E42</f>
        <v>2</v>
      </c>
      <c r="F47" s="53">
        <f t="shared" si="10"/>
        <v>-1</v>
      </c>
      <c r="G47" s="53">
        <f t="shared" si="10"/>
        <v>-1</v>
      </c>
      <c r="H47" s="53" t="str">
        <f t="shared" si="10"/>
        <v>\\</v>
      </c>
      <c r="I47" s="103">
        <f t="shared" si="10"/>
        <v>-2</v>
      </c>
      <c r="J47" s="568" t="s">
        <v>158</v>
      </c>
      <c r="K47" s="569" t="s">
        <v>275</v>
      </c>
      <c r="L47" s="569"/>
      <c r="M47" s="569"/>
      <c r="N47" s="569"/>
      <c r="O47" s="569"/>
      <c r="P47" s="117"/>
      <c r="AA47" s="51"/>
    </row>
    <row r="48" spans="2:27" x14ac:dyDescent="0.25">
      <c r="B48" s="50"/>
      <c r="D48" s="98">
        <f>IF($E43&lt;&gt;0,D43/$E43,D43)</f>
        <v>0</v>
      </c>
      <c r="E48" s="2">
        <f>IF($E43&lt;&gt;0,E43/$E43,E43)</f>
        <v>1</v>
      </c>
      <c r="F48" s="2">
        <f>IF($E43&lt;&gt;0,F43/$E43,F43)</f>
        <v>1.6666666666666667</v>
      </c>
      <c r="G48" s="2">
        <f>IF($E43&lt;&gt;0,G43/$E43,G43)</f>
        <v>-1.6666666666666667</v>
      </c>
      <c r="H48" s="2" t="str">
        <f t="shared" si="10"/>
        <v>\\</v>
      </c>
      <c r="I48" s="99">
        <f>IF($E43&lt;&gt;0,I43/$E43,I43)</f>
        <v>0.33333333333333331</v>
      </c>
      <c r="J48" s="568"/>
      <c r="K48" s="569"/>
      <c r="L48" s="569"/>
      <c r="M48" s="569"/>
      <c r="N48" s="569"/>
      <c r="O48" s="569"/>
      <c r="P48" s="117"/>
      <c r="AA48" s="51"/>
    </row>
    <row r="49" spans="2:27" x14ac:dyDescent="0.25">
      <c r="B49" s="50"/>
      <c r="D49" s="98">
        <f>D44</f>
        <v>0</v>
      </c>
      <c r="E49" s="2">
        <f t="shared" ref="E49:G49" si="11">E44</f>
        <v>0</v>
      </c>
      <c r="F49" s="2">
        <f t="shared" si="11"/>
        <v>5</v>
      </c>
      <c r="G49" s="2">
        <f t="shared" si="11"/>
        <v>-2</v>
      </c>
      <c r="H49" s="2" t="str">
        <f t="shared" ref="H49:I49" si="12">H44</f>
        <v>\\</v>
      </c>
      <c r="I49" s="99">
        <f t="shared" si="12"/>
        <v>7</v>
      </c>
      <c r="J49" s="568"/>
      <c r="K49" s="569"/>
      <c r="L49" s="569"/>
      <c r="M49" s="569"/>
      <c r="N49" s="569"/>
      <c r="O49" s="569"/>
      <c r="P49" s="117"/>
      <c r="AA49" s="51"/>
    </row>
    <row r="50" spans="2:27" ht="15.75" thickBot="1" x14ac:dyDescent="0.3">
      <c r="B50" s="50"/>
      <c r="D50" s="100">
        <f>D45</f>
        <v>0</v>
      </c>
      <c r="E50" s="101">
        <f t="shared" ref="E50:I50" si="13">E45</f>
        <v>3</v>
      </c>
      <c r="F50" s="101">
        <f t="shared" si="13"/>
        <v>5</v>
      </c>
      <c r="G50" s="101">
        <f t="shared" si="13"/>
        <v>-4</v>
      </c>
      <c r="H50" s="101" t="str">
        <f t="shared" si="13"/>
        <v>\\</v>
      </c>
      <c r="I50" s="102">
        <f t="shared" si="13"/>
        <v>5</v>
      </c>
      <c r="J50" s="568"/>
      <c r="K50" s="569"/>
      <c r="L50" s="569"/>
      <c r="M50" s="569"/>
      <c r="N50" s="569"/>
      <c r="O50" s="569"/>
      <c r="P50" s="117"/>
      <c r="AA50" s="51"/>
    </row>
    <row r="51" spans="2:27" ht="15.75" thickBot="1" x14ac:dyDescent="0.3">
      <c r="B51" s="50"/>
      <c r="H51" s="2"/>
      <c r="K51" s="117"/>
      <c r="L51" s="117"/>
      <c r="M51" s="117"/>
      <c r="N51" s="117"/>
      <c r="O51" s="117"/>
      <c r="P51" s="117"/>
      <c r="AA51" s="51"/>
    </row>
    <row r="52" spans="2:27" x14ac:dyDescent="0.25">
      <c r="B52" s="50"/>
      <c r="D52" s="124">
        <f>(D47-($E47*D53))</f>
        <v>1</v>
      </c>
      <c r="E52" s="53">
        <f>(E47-($E47*E53))</f>
        <v>0</v>
      </c>
      <c r="F52" s="53">
        <f>(F47-($E47*F53))</f>
        <v>-4.3333333333333339</v>
      </c>
      <c r="G52" s="53">
        <f>(G47-($E47*G53))</f>
        <v>2.3333333333333335</v>
      </c>
      <c r="H52" s="53" t="str">
        <f t="shared" ref="H52" si="14">H47</f>
        <v>\\</v>
      </c>
      <c r="I52" s="103">
        <f>(I47-($E47*I53))</f>
        <v>-2.6666666666666665</v>
      </c>
      <c r="J52" s="568" t="s">
        <v>158</v>
      </c>
      <c r="K52" s="569" t="s">
        <v>277</v>
      </c>
      <c r="L52" s="569"/>
      <c r="M52" s="569"/>
      <c r="N52" s="569"/>
      <c r="O52" s="569"/>
      <c r="P52" s="117"/>
      <c r="AA52" s="51"/>
    </row>
    <row r="53" spans="2:27" x14ac:dyDescent="0.25">
      <c r="B53" s="50"/>
      <c r="D53" s="98">
        <f>D48</f>
        <v>0</v>
      </c>
      <c r="E53" s="2">
        <f t="shared" ref="E53:I55" si="15">E48</f>
        <v>1</v>
      </c>
      <c r="F53" s="2">
        <f t="shared" si="15"/>
        <v>1.6666666666666667</v>
      </c>
      <c r="G53" s="2">
        <f t="shared" si="15"/>
        <v>-1.6666666666666667</v>
      </c>
      <c r="H53" s="2" t="str">
        <f t="shared" si="15"/>
        <v>\\</v>
      </c>
      <c r="I53" s="99">
        <f t="shared" si="15"/>
        <v>0.33333333333333331</v>
      </c>
      <c r="J53" s="568"/>
      <c r="K53" s="569"/>
      <c r="L53" s="569"/>
      <c r="M53" s="569"/>
      <c r="N53" s="569"/>
      <c r="O53" s="569"/>
      <c r="P53" s="117"/>
      <c r="AA53" s="51"/>
    </row>
    <row r="54" spans="2:27" x14ac:dyDescent="0.25">
      <c r="B54" s="50"/>
      <c r="D54" s="98">
        <f>(D49-($E49*D48))</f>
        <v>0</v>
      </c>
      <c r="E54" s="2">
        <f>(E49-($E49*E48))</f>
        <v>0</v>
      </c>
      <c r="F54" s="2">
        <f>(F49-($E49*F48))</f>
        <v>5</v>
      </c>
      <c r="G54" s="2">
        <f>(G49-($E49*G48))</f>
        <v>-2</v>
      </c>
      <c r="H54" s="2" t="str">
        <f t="shared" si="15"/>
        <v>\\</v>
      </c>
      <c r="I54" s="99">
        <f>(I49-($E49*I48))</f>
        <v>7</v>
      </c>
      <c r="J54" s="568"/>
      <c r="K54" s="569"/>
      <c r="L54" s="569"/>
      <c r="M54" s="569"/>
      <c r="N54" s="569"/>
      <c r="O54" s="569"/>
      <c r="P54" s="117"/>
      <c r="AA54" s="51"/>
    </row>
    <row r="55" spans="2:27" ht="15.75" thickBot="1" x14ac:dyDescent="0.3">
      <c r="B55" s="50"/>
      <c r="D55" s="100">
        <f>D50</f>
        <v>0</v>
      </c>
      <c r="E55" s="101">
        <f>(E50-($E50*E48))</f>
        <v>0</v>
      </c>
      <c r="F55" s="101">
        <f>(F50-($E50*F48))</f>
        <v>0</v>
      </c>
      <c r="G55" s="101">
        <f>(G50-($E50*G48))</f>
        <v>1</v>
      </c>
      <c r="H55" s="101" t="str">
        <f t="shared" si="15"/>
        <v>\\</v>
      </c>
      <c r="I55" s="102">
        <f>(I50-($E50*I48))</f>
        <v>4</v>
      </c>
      <c r="J55" s="568"/>
      <c r="K55" s="569"/>
      <c r="L55" s="569"/>
      <c r="M55" s="569"/>
      <c r="N55" s="569"/>
      <c r="O55" s="569"/>
      <c r="P55" s="117"/>
      <c r="AA55" s="51"/>
    </row>
    <row r="56" spans="2:27" ht="15.75" thickBot="1" x14ac:dyDescent="0.3">
      <c r="B56" s="50"/>
      <c r="D56" s="2"/>
      <c r="E56" s="2"/>
      <c r="F56" s="2"/>
      <c r="G56" s="2"/>
      <c r="H56" s="2"/>
      <c r="I56" s="2"/>
      <c r="K56" s="117"/>
      <c r="L56" s="117"/>
      <c r="M56" s="117"/>
      <c r="N56" s="117"/>
      <c r="O56" s="117"/>
      <c r="P56" s="117"/>
      <c r="AA56" s="51"/>
    </row>
    <row r="57" spans="2:27" x14ac:dyDescent="0.25">
      <c r="B57" s="50"/>
      <c r="D57" s="124">
        <f>D52</f>
        <v>1</v>
      </c>
      <c r="E57" s="53">
        <f t="shared" ref="E57:I57" si="16">E52</f>
        <v>0</v>
      </c>
      <c r="F57" s="53">
        <f t="shared" si="16"/>
        <v>-4.3333333333333339</v>
      </c>
      <c r="G57" s="53">
        <f t="shared" si="16"/>
        <v>2.3333333333333335</v>
      </c>
      <c r="H57" s="53" t="str">
        <f t="shared" si="16"/>
        <v>\\</v>
      </c>
      <c r="I57" s="103">
        <f t="shared" si="16"/>
        <v>-2.6666666666666665</v>
      </c>
      <c r="J57" s="568" t="s">
        <v>158</v>
      </c>
      <c r="K57" s="569" t="s">
        <v>273</v>
      </c>
      <c r="L57" s="569"/>
      <c r="M57" s="569"/>
      <c r="N57" s="569"/>
      <c r="O57" s="569"/>
      <c r="P57" s="569"/>
      <c r="AA57" s="51"/>
    </row>
    <row r="58" spans="2:27" x14ac:dyDescent="0.25">
      <c r="B58" s="50"/>
      <c r="D58" s="98">
        <f>D53</f>
        <v>0</v>
      </c>
      <c r="E58" s="2">
        <f t="shared" ref="E58:I58" si="17">E53</f>
        <v>1</v>
      </c>
      <c r="F58" s="2">
        <f t="shared" si="17"/>
        <v>1.6666666666666667</v>
      </c>
      <c r="G58" s="2">
        <f t="shared" si="17"/>
        <v>-1.6666666666666667</v>
      </c>
      <c r="H58" s="2" t="str">
        <f t="shared" si="17"/>
        <v>\\</v>
      </c>
      <c r="I58" s="99">
        <f t="shared" si="17"/>
        <v>0.33333333333333331</v>
      </c>
      <c r="J58" s="568"/>
      <c r="K58" s="569"/>
      <c r="L58" s="569"/>
      <c r="M58" s="569"/>
      <c r="N58" s="569"/>
      <c r="O58" s="569"/>
      <c r="P58" s="569"/>
      <c r="AA58" s="51"/>
    </row>
    <row r="59" spans="2:27" x14ac:dyDescent="0.25">
      <c r="B59" s="50"/>
      <c r="D59" s="98">
        <f>D54</f>
        <v>0</v>
      </c>
      <c r="E59" s="2">
        <f>E54</f>
        <v>0</v>
      </c>
      <c r="F59" s="2">
        <f>IF($F54=0,IF($F55=0,F54,F55),F54)</f>
        <v>5</v>
      </c>
      <c r="G59" s="2">
        <f>IF($F54=0,IF($F55=0,G54,G55),G54)</f>
        <v>-2</v>
      </c>
      <c r="H59" s="2" t="str">
        <f t="shared" ref="H59" si="18">H54</f>
        <v>\\</v>
      </c>
      <c r="I59" s="99">
        <f>IF($F54=0,IF($F55=0,I54,I55),I54)</f>
        <v>7</v>
      </c>
      <c r="J59" s="568"/>
      <c r="K59" s="569"/>
      <c r="L59" s="569"/>
      <c r="M59" s="569"/>
      <c r="N59" s="569"/>
      <c r="O59" s="569"/>
      <c r="P59" s="569"/>
      <c r="AA59" s="51"/>
    </row>
    <row r="60" spans="2:27" ht="15.75" thickBot="1" x14ac:dyDescent="0.3">
      <c r="B60" s="50"/>
      <c r="D60" s="100">
        <f>D55</f>
        <v>0</v>
      </c>
      <c r="E60" s="101">
        <f>E55</f>
        <v>0</v>
      </c>
      <c r="F60" s="101">
        <f>IF($F54=0,IF($F55=0,F55,F54),F55)</f>
        <v>0</v>
      </c>
      <c r="G60" s="101">
        <f>IF($F54=0,IF($F55=0,G55,G54),G55)</f>
        <v>1</v>
      </c>
      <c r="H60" s="101" t="str">
        <f t="shared" ref="H60:H68" si="19">H55</f>
        <v>\\</v>
      </c>
      <c r="I60" s="102">
        <f>IF($F54=0,IF($F55=0,I55,I54),I55)</f>
        <v>4</v>
      </c>
      <c r="J60" s="568"/>
      <c r="K60" s="569"/>
      <c r="L60" s="569"/>
      <c r="M60" s="569"/>
      <c r="N60" s="569"/>
      <c r="O60" s="569"/>
      <c r="P60" s="569"/>
      <c r="AA60" s="51"/>
    </row>
    <row r="61" spans="2:27" ht="15.75" thickBot="1" x14ac:dyDescent="0.3">
      <c r="B61" s="50"/>
      <c r="H61" s="2"/>
      <c r="K61" s="117"/>
      <c r="L61" s="117"/>
      <c r="M61" s="117"/>
      <c r="N61" s="117"/>
      <c r="O61" s="117"/>
      <c r="P61" s="117"/>
      <c r="AA61" s="51"/>
    </row>
    <row r="62" spans="2:27" x14ac:dyDescent="0.25">
      <c r="B62" s="50"/>
      <c r="D62" s="124">
        <f>D57</f>
        <v>1</v>
      </c>
      <c r="E62" s="53">
        <f t="shared" ref="E62:I62" si="20">E57</f>
        <v>0</v>
      </c>
      <c r="F62" s="53">
        <f t="shared" si="20"/>
        <v>-4.3333333333333339</v>
      </c>
      <c r="G62" s="53">
        <f t="shared" si="20"/>
        <v>2.3333333333333335</v>
      </c>
      <c r="H62" s="53" t="str">
        <f t="shared" si="19"/>
        <v>\\</v>
      </c>
      <c r="I62" s="103">
        <f t="shared" si="20"/>
        <v>-2.6666666666666665</v>
      </c>
      <c r="J62" s="568" t="s">
        <v>158</v>
      </c>
      <c r="K62" s="569" t="s">
        <v>274</v>
      </c>
      <c r="L62" s="569"/>
      <c r="M62" s="569"/>
      <c r="N62" s="569"/>
      <c r="O62" s="569"/>
      <c r="P62" s="117"/>
      <c r="AA62" s="51"/>
    </row>
    <row r="63" spans="2:27" x14ac:dyDescent="0.25">
      <c r="B63" s="50"/>
      <c r="D63" s="98">
        <f>D58</f>
        <v>0</v>
      </c>
      <c r="E63" s="2">
        <f t="shared" ref="E63:I63" si="21">E58</f>
        <v>1</v>
      </c>
      <c r="F63" s="2">
        <f t="shared" si="21"/>
        <v>1.6666666666666667</v>
      </c>
      <c r="G63" s="2">
        <f t="shared" si="21"/>
        <v>-1.6666666666666667</v>
      </c>
      <c r="H63" s="2" t="str">
        <f t="shared" si="19"/>
        <v>\\</v>
      </c>
      <c r="I63" s="99">
        <f t="shared" si="21"/>
        <v>0.33333333333333331</v>
      </c>
      <c r="J63" s="568"/>
      <c r="K63" s="569"/>
      <c r="L63" s="569"/>
      <c r="M63" s="569"/>
      <c r="N63" s="569"/>
      <c r="O63" s="569"/>
      <c r="P63" s="117"/>
      <c r="AA63" s="51"/>
    </row>
    <row r="64" spans="2:27" x14ac:dyDescent="0.25">
      <c r="B64" s="50"/>
      <c r="D64" s="98">
        <f>IF($F59&lt;&gt;0,D59/$F59,D59)</f>
        <v>0</v>
      </c>
      <c r="E64" s="2">
        <f>IF($F59&lt;&gt;0,E59/$F59,E59)</f>
        <v>0</v>
      </c>
      <c r="F64" s="2">
        <f>IF($F59&lt;&gt;0,F59/$F59,F59)</f>
        <v>1</v>
      </c>
      <c r="G64" s="2">
        <f>IF($F59&lt;&gt;0,G59/$F59,G59)</f>
        <v>-0.4</v>
      </c>
      <c r="H64" s="2" t="str">
        <f t="shared" si="19"/>
        <v>\\</v>
      </c>
      <c r="I64" s="99">
        <f>IF($F59&lt;&gt;0,I59/$F59,I59)</f>
        <v>1.4</v>
      </c>
      <c r="J64" s="568"/>
      <c r="K64" s="569"/>
      <c r="L64" s="569"/>
      <c r="M64" s="569"/>
      <c r="N64" s="569"/>
      <c r="O64" s="569"/>
      <c r="P64" s="117"/>
      <c r="AA64" s="51"/>
    </row>
    <row r="65" spans="2:27" ht="15.75" thickBot="1" x14ac:dyDescent="0.3">
      <c r="B65" s="50"/>
      <c r="D65" s="100">
        <f>D60</f>
        <v>0</v>
      </c>
      <c r="E65" s="101">
        <f t="shared" ref="E65:I65" si="22">E60</f>
        <v>0</v>
      </c>
      <c r="F65" s="101">
        <f t="shared" si="22"/>
        <v>0</v>
      </c>
      <c r="G65" s="101">
        <f t="shared" si="22"/>
        <v>1</v>
      </c>
      <c r="H65" s="101" t="str">
        <f t="shared" si="19"/>
        <v>\\</v>
      </c>
      <c r="I65" s="102">
        <f t="shared" si="22"/>
        <v>4</v>
      </c>
      <c r="J65" s="568"/>
      <c r="K65" s="569"/>
      <c r="L65" s="569"/>
      <c r="M65" s="569"/>
      <c r="N65" s="569"/>
      <c r="O65" s="569"/>
      <c r="P65" s="117"/>
      <c r="AA65" s="51"/>
    </row>
    <row r="66" spans="2:27" ht="15.75" thickBot="1" x14ac:dyDescent="0.3">
      <c r="B66" s="50"/>
      <c r="H66" s="2"/>
      <c r="K66" s="117"/>
      <c r="L66" s="117"/>
      <c r="M66" s="117"/>
      <c r="N66" s="117"/>
      <c r="O66" s="117"/>
      <c r="P66" s="117"/>
      <c r="AA66" s="51"/>
    </row>
    <row r="67" spans="2:27" x14ac:dyDescent="0.25">
      <c r="B67" s="50"/>
      <c r="D67" s="124">
        <f>(D62-($F62*D64))</f>
        <v>1</v>
      </c>
      <c r="E67" s="53">
        <f>(E62-($F62*E64))</f>
        <v>0</v>
      </c>
      <c r="F67" s="53">
        <f>(F62-($F62*F64))</f>
        <v>0</v>
      </c>
      <c r="G67" s="53">
        <f>(G62-($F62*G64))</f>
        <v>0.59999999999999987</v>
      </c>
      <c r="H67" s="53" t="str">
        <f t="shared" si="19"/>
        <v>\\</v>
      </c>
      <c r="I67" s="103">
        <f>(I62-($F62*I64))</f>
        <v>3.4000000000000008</v>
      </c>
      <c r="J67" s="568" t="s">
        <v>158</v>
      </c>
      <c r="K67" s="569" t="s">
        <v>278</v>
      </c>
      <c r="L67" s="569"/>
      <c r="M67" s="569"/>
      <c r="N67" s="569"/>
      <c r="O67" s="569"/>
      <c r="P67" s="117"/>
      <c r="AA67" s="51"/>
    </row>
    <row r="68" spans="2:27" x14ac:dyDescent="0.25">
      <c r="B68" s="50"/>
      <c r="D68" s="98">
        <f>(D63-($F63*D69))</f>
        <v>0</v>
      </c>
      <c r="E68" s="2">
        <f>(E63-($F63*E69))</f>
        <v>1</v>
      </c>
      <c r="F68" s="2">
        <f>(F63-($F63*F69))</f>
        <v>0</v>
      </c>
      <c r="G68" s="2">
        <f>(G63-($F63*G69))</f>
        <v>-1</v>
      </c>
      <c r="H68" s="2" t="str">
        <f t="shared" si="19"/>
        <v>\\</v>
      </c>
      <c r="I68" s="99">
        <f>(I63-($F63*I69))</f>
        <v>-2</v>
      </c>
      <c r="J68" s="568"/>
      <c r="K68" s="569"/>
      <c r="L68" s="569"/>
      <c r="M68" s="569"/>
      <c r="N68" s="569"/>
      <c r="O68" s="569"/>
      <c r="P68" s="117"/>
      <c r="AA68" s="51"/>
    </row>
    <row r="69" spans="2:27" x14ac:dyDescent="0.25">
      <c r="B69" s="50"/>
      <c r="D69" s="98">
        <f>D64</f>
        <v>0</v>
      </c>
      <c r="E69" s="2">
        <f t="shared" ref="E69:I69" si="23">E64</f>
        <v>0</v>
      </c>
      <c r="F69" s="2">
        <f t="shared" si="23"/>
        <v>1</v>
      </c>
      <c r="G69" s="2">
        <f t="shared" si="23"/>
        <v>-0.4</v>
      </c>
      <c r="H69" s="2" t="str">
        <f t="shared" si="23"/>
        <v>\\</v>
      </c>
      <c r="I69" s="99">
        <f t="shared" si="23"/>
        <v>1.4</v>
      </c>
      <c r="J69" s="568"/>
      <c r="K69" s="569"/>
      <c r="L69" s="569"/>
      <c r="M69" s="569"/>
      <c r="N69" s="569"/>
      <c r="O69" s="569"/>
      <c r="P69" s="117"/>
      <c r="AA69" s="51"/>
    </row>
    <row r="70" spans="2:27" ht="15.75" thickBot="1" x14ac:dyDescent="0.3">
      <c r="B70" s="50"/>
      <c r="D70" s="100">
        <f>(D65-($F65*D64))</f>
        <v>0</v>
      </c>
      <c r="E70" s="101">
        <f>(E65-($F65*E64))</f>
        <v>0</v>
      </c>
      <c r="F70" s="101">
        <f>(F65-($F65*F64))</f>
        <v>0</v>
      </c>
      <c r="G70" s="101">
        <f>(G65-($F65*G64))</f>
        <v>1</v>
      </c>
      <c r="H70" s="101" t="str">
        <f t="shared" ref="H70" si="24">H65</f>
        <v>\\</v>
      </c>
      <c r="I70" s="102">
        <f>(I65-($F65*I64))</f>
        <v>4</v>
      </c>
      <c r="J70" s="568"/>
      <c r="K70" s="569"/>
      <c r="L70" s="569"/>
      <c r="M70" s="569"/>
      <c r="N70" s="569"/>
      <c r="O70" s="569"/>
      <c r="P70" s="117"/>
      <c r="AA70" s="51"/>
    </row>
    <row r="71" spans="2:27" ht="15.75" thickBot="1" x14ac:dyDescent="0.3">
      <c r="B71" s="50"/>
      <c r="K71" s="117"/>
      <c r="L71" s="117"/>
      <c r="M71" s="117"/>
      <c r="N71" s="117"/>
      <c r="O71" s="117"/>
      <c r="P71" s="117"/>
      <c r="AA71" s="51"/>
    </row>
    <row r="72" spans="2:27" x14ac:dyDescent="0.25">
      <c r="B72" s="50"/>
      <c r="D72" s="124">
        <f>D67</f>
        <v>1</v>
      </c>
      <c r="E72" s="53">
        <f t="shared" ref="E72:I72" si="25">E67</f>
        <v>0</v>
      </c>
      <c r="F72" s="53">
        <f t="shared" si="25"/>
        <v>0</v>
      </c>
      <c r="G72" s="53">
        <f t="shared" si="25"/>
        <v>0.59999999999999987</v>
      </c>
      <c r="H72" s="53" t="str">
        <f t="shared" si="25"/>
        <v>\\</v>
      </c>
      <c r="I72" s="103">
        <f t="shared" si="25"/>
        <v>3.4000000000000008</v>
      </c>
      <c r="J72" s="568" t="s">
        <v>158</v>
      </c>
      <c r="K72" s="569" t="s">
        <v>279</v>
      </c>
      <c r="L72" s="569"/>
      <c r="M72" s="569"/>
      <c r="N72" s="569"/>
      <c r="O72" s="569"/>
      <c r="P72" s="569"/>
      <c r="AA72" s="51"/>
    </row>
    <row r="73" spans="2:27" x14ac:dyDescent="0.25">
      <c r="B73" s="50"/>
      <c r="D73" s="98">
        <f>D68</f>
        <v>0</v>
      </c>
      <c r="E73" s="2">
        <f t="shared" ref="E73:I73" si="26">E68</f>
        <v>1</v>
      </c>
      <c r="F73" s="2">
        <f t="shared" si="26"/>
        <v>0</v>
      </c>
      <c r="G73" s="2">
        <f t="shared" si="26"/>
        <v>-1</v>
      </c>
      <c r="H73" s="2" t="str">
        <f t="shared" si="26"/>
        <v>\\</v>
      </c>
      <c r="I73" s="99">
        <f t="shared" si="26"/>
        <v>-2</v>
      </c>
      <c r="J73" s="568"/>
      <c r="K73" s="569"/>
      <c r="L73" s="569"/>
      <c r="M73" s="569"/>
      <c r="N73" s="569"/>
      <c r="O73" s="569"/>
      <c r="P73" s="569"/>
      <c r="AA73" s="51"/>
    </row>
    <row r="74" spans="2:27" x14ac:dyDescent="0.25">
      <c r="B74" s="50"/>
      <c r="D74" s="98">
        <f>D69</f>
        <v>0</v>
      </c>
      <c r="E74" s="2">
        <f t="shared" ref="E74:I75" si="27">E69</f>
        <v>0</v>
      </c>
      <c r="F74" s="2">
        <f t="shared" si="27"/>
        <v>1</v>
      </c>
      <c r="G74" s="2">
        <f t="shared" si="27"/>
        <v>-0.4</v>
      </c>
      <c r="H74" s="2" t="str">
        <f t="shared" si="27"/>
        <v>\\</v>
      </c>
      <c r="I74" s="99">
        <f t="shared" si="27"/>
        <v>1.4</v>
      </c>
      <c r="J74" s="568"/>
      <c r="K74" s="569"/>
      <c r="L74" s="569"/>
      <c r="M74" s="569"/>
      <c r="N74" s="569"/>
      <c r="O74" s="569"/>
      <c r="P74" s="569"/>
      <c r="AA74" s="51"/>
    </row>
    <row r="75" spans="2:27" ht="15.75" thickBot="1" x14ac:dyDescent="0.3">
      <c r="B75" s="50"/>
      <c r="D75" s="100">
        <f>IF($G70&lt;&gt;0,D70/$G70,D70)</f>
        <v>0</v>
      </c>
      <c r="E75" s="101">
        <f>IF($G70&lt;&gt;0,E70/$G70,E70)</f>
        <v>0</v>
      </c>
      <c r="F75" s="101">
        <f>IF($G70&lt;&gt;0,F70/$G70,F70)</f>
        <v>0</v>
      </c>
      <c r="G75" s="101">
        <f>IF($G70&lt;&gt;0,G70/$G70,G70)</f>
        <v>1</v>
      </c>
      <c r="H75" s="101" t="str">
        <f t="shared" si="27"/>
        <v>\\</v>
      </c>
      <c r="I75" s="102">
        <f>IF($G70&lt;&gt;0,I70/$G70,I70)</f>
        <v>4</v>
      </c>
      <c r="J75" s="568"/>
      <c r="K75" s="569"/>
      <c r="L75" s="569"/>
      <c r="M75" s="569"/>
      <c r="N75" s="569"/>
      <c r="O75" s="569"/>
      <c r="P75" s="569"/>
      <c r="AA75" s="51"/>
    </row>
    <row r="76" spans="2:27" ht="15.75" thickBot="1" x14ac:dyDescent="0.3">
      <c r="B76" s="50"/>
      <c r="H76" s="2"/>
      <c r="K76" s="117"/>
      <c r="L76" s="117"/>
      <c r="M76" s="117"/>
      <c r="N76" s="117"/>
      <c r="O76" s="117"/>
      <c r="P76" s="117"/>
      <c r="AA76" s="51"/>
    </row>
    <row r="77" spans="2:27" x14ac:dyDescent="0.25">
      <c r="B77" s="50"/>
      <c r="D77" s="124">
        <f>D72-($G72*D80)</f>
        <v>1</v>
      </c>
      <c r="E77" s="53">
        <f>E72-($G72*E80)</f>
        <v>0</v>
      </c>
      <c r="F77" s="53">
        <f>F72-($G72*F80)</f>
        <v>0</v>
      </c>
      <c r="G77" s="53">
        <f>G72-($G72*G80)</f>
        <v>0</v>
      </c>
      <c r="H77" s="53" t="str">
        <f t="shared" ref="H77:H80" si="28">H72</f>
        <v>\\</v>
      </c>
      <c r="I77" s="103">
        <f>I72-($G72*I80)</f>
        <v>1.0000000000000013</v>
      </c>
      <c r="J77" s="568" t="s">
        <v>158</v>
      </c>
      <c r="K77" s="569" t="s">
        <v>280</v>
      </c>
      <c r="L77" s="569"/>
      <c r="M77" s="569"/>
      <c r="N77" s="569"/>
      <c r="O77" s="569"/>
      <c r="P77" s="569"/>
      <c r="AA77" s="51"/>
    </row>
    <row r="78" spans="2:27" x14ac:dyDescent="0.25">
      <c r="B78" s="50"/>
      <c r="D78" s="98">
        <f>D73-($G73*D80)</f>
        <v>0</v>
      </c>
      <c r="E78" s="2">
        <f>E73-($G73*E80)</f>
        <v>1</v>
      </c>
      <c r="F78" s="2">
        <f>F73-($G73*F80)</f>
        <v>0</v>
      </c>
      <c r="G78" s="2">
        <f>G73-($G73*G80)</f>
        <v>0</v>
      </c>
      <c r="H78" s="2" t="str">
        <f t="shared" si="28"/>
        <v>\\</v>
      </c>
      <c r="I78" s="99">
        <f>I73-($G73*I80)</f>
        <v>2</v>
      </c>
      <c r="J78" s="568"/>
      <c r="K78" s="569"/>
      <c r="L78" s="569"/>
      <c r="M78" s="569"/>
      <c r="N78" s="569"/>
      <c r="O78" s="569"/>
      <c r="P78" s="569"/>
      <c r="AA78" s="51"/>
    </row>
    <row r="79" spans="2:27" x14ac:dyDescent="0.25">
      <c r="B79" s="50"/>
      <c r="D79" s="98">
        <f>D74-($G74*D80)</f>
        <v>0</v>
      </c>
      <c r="E79" s="2">
        <f>E74-($G74*E80)</f>
        <v>0</v>
      </c>
      <c r="F79" s="2">
        <f>F74-($G74*F80)</f>
        <v>1</v>
      </c>
      <c r="G79" s="2">
        <f>G74-($G74*G80)</f>
        <v>0</v>
      </c>
      <c r="H79" s="2" t="str">
        <f t="shared" si="28"/>
        <v>\\</v>
      </c>
      <c r="I79" s="99">
        <f>I74-($G74*I80)</f>
        <v>3</v>
      </c>
      <c r="J79" s="568"/>
      <c r="K79" s="569"/>
      <c r="L79" s="569"/>
      <c r="M79" s="569"/>
      <c r="N79" s="569"/>
      <c r="O79" s="569"/>
      <c r="P79" s="569"/>
      <c r="AA79" s="51"/>
    </row>
    <row r="80" spans="2:27" ht="15.75" thickBot="1" x14ac:dyDescent="0.3">
      <c r="B80" s="50"/>
      <c r="D80" s="100">
        <f t="shared" ref="D80:I80" si="29">D75</f>
        <v>0</v>
      </c>
      <c r="E80" s="101">
        <f t="shared" si="29"/>
        <v>0</v>
      </c>
      <c r="F80" s="101">
        <f t="shared" si="29"/>
        <v>0</v>
      </c>
      <c r="G80" s="101">
        <f t="shared" si="29"/>
        <v>1</v>
      </c>
      <c r="H80" s="101" t="str">
        <f t="shared" si="28"/>
        <v>\\</v>
      </c>
      <c r="I80" s="102">
        <f t="shared" si="29"/>
        <v>4</v>
      </c>
      <c r="J80" s="568"/>
      <c r="K80" s="569"/>
      <c r="L80" s="569"/>
      <c r="M80" s="569"/>
      <c r="N80" s="569"/>
      <c r="O80" s="569"/>
      <c r="P80" s="569"/>
      <c r="AA80" s="51"/>
    </row>
    <row r="81" spans="2:27" x14ac:dyDescent="0.25">
      <c r="B81" s="50"/>
      <c r="AA81" s="51"/>
    </row>
    <row r="82" spans="2:27" ht="17.25" x14ac:dyDescent="0.3">
      <c r="B82" s="50"/>
      <c r="C82" s="561" t="s">
        <v>282</v>
      </c>
      <c r="D82" s="561"/>
      <c r="E82" s="561"/>
      <c r="F82" s="561"/>
      <c r="G82" s="561"/>
      <c r="H82" s="561"/>
      <c r="I82" s="561"/>
      <c r="J82" s="561"/>
      <c r="AA82" s="51"/>
    </row>
    <row r="83" spans="2:27" ht="15.75" thickBot="1" x14ac:dyDescent="0.3">
      <c r="B83" s="50"/>
      <c r="AA83" s="51"/>
    </row>
    <row r="84" spans="2:27" x14ac:dyDescent="0.25">
      <c r="B84" s="50"/>
      <c r="C84" s="582" t="s">
        <v>162</v>
      </c>
      <c r="L84" s="47"/>
      <c r="M84" s="48"/>
      <c r="N84" s="209" t="s">
        <v>358</v>
      </c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9"/>
      <c r="AA84" s="51"/>
    </row>
    <row r="85" spans="2:27" ht="15.75" thickBot="1" x14ac:dyDescent="0.3">
      <c r="B85" s="50"/>
      <c r="C85" s="583"/>
      <c r="L85" s="50"/>
      <c r="Z85" s="51"/>
      <c r="AA85" s="51"/>
    </row>
    <row r="86" spans="2:27" x14ac:dyDescent="0.25">
      <c r="B86" s="50"/>
      <c r="C86" s="4" cm="1">
        <f t="array" ref="C86">IF(SUM(ABS(D77:G77))=0,0,1)</f>
        <v>1</v>
      </c>
      <c r="D86" s="233">
        <f t="shared" ref="D86:I89" si="30">D77</f>
        <v>1</v>
      </c>
      <c r="E86" s="215">
        <f t="shared" si="30"/>
        <v>0</v>
      </c>
      <c r="F86" s="215">
        <f t="shared" si="30"/>
        <v>0</v>
      </c>
      <c r="G86" s="215">
        <f t="shared" si="30"/>
        <v>0</v>
      </c>
      <c r="H86" s="215" t="str">
        <f t="shared" si="30"/>
        <v>\\</v>
      </c>
      <c r="I86" s="230">
        <f t="shared" si="30"/>
        <v>1.0000000000000013</v>
      </c>
      <c r="J86" s="581" t="s">
        <v>103</v>
      </c>
      <c r="K86" s="563"/>
      <c r="L86" s="50"/>
      <c r="M86" s="2">
        <f t="shared" ref="M86:S86" si="31">IF($C86=0,IF($C87=0,IF($C88=0,IF($C89=0,C86,C89),C88),C87),C86)</f>
        <v>1</v>
      </c>
      <c r="N86" s="33">
        <f t="shared" si="31"/>
        <v>1</v>
      </c>
      <c r="O86" s="34">
        <f t="shared" si="31"/>
        <v>0</v>
      </c>
      <c r="P86" s="34">
        <f t="shared" si="31"/>
        <v>0</v>
      </c>
      <c r="Q86" s="34">
        <f t="shared" si="31"/>
        <v>0</v>
      </c>
      <c r="R86" s="34" t="str">
        <f t="shared" si="31"/>
        <v>\\</v>
      </c>
      <c r="S86" s="41">
        <f t="shared" si="31"/>
        <v>1.0000000000000013</v>
      </c>
      <c r="T86" s="568" t="s">
        <v>158</v>
      </c>
      <c r="U86" s="569" t="s">
        <v>285</v>
      </c>
      <c r="V86" s="569"/>
      <c r="W86" s="569"/>
      <c r="X86" s="569"/>
      <c r="Y86" s="569"/>
      <c r="Z86" s="570"/>
      <c r="AA86" s="51"/>
    </row>
    <row r="87" spans="2:27" x14ac:dyDescent="0.25">
      <c r="B87" s="50"/>
      <c r="C87" s="13" cm="1">
        <f t="array" ref="C87">IF(SUM(ABS(D78:G78))=0,0,1)</f>
        <v>1</v>
      </c>
      <c r="D87" s="234">
        <f t="shared" si="30"/>
        <v>0</v>
      </c>
      <c r="E87" s="218">
        <f t="shared" si="30"/>
        <v>1</v>
      </c>
      <c r="F87" s="218">
        <f t="shared" si="30"/>
        <v>0</v>
      </c>
      <c r="G87" s="218">
        <f t="shared" si="30"/>
        <v>0</v>
      </c>
      <c r="H87" s="218" t="str">
        <f t="shared" si="30"/>
        <v>\\</v>
      </c>
      <c r="I87" s="231">
        <f t="shared" si="30"/>
        <v>2</v>
      </c>
      <c r="J87" s="581"/>
      <c r="K87" s="563"/>
      <c r="L87" s="50"/>
      <c r="M87" s="2">
        <f>IF($C86=0,IF($C87=0,IF($C88=0,IF($C89=0,C87,C87),C87),C86),C87)</f>
        <v>1</v>
      </c>
      <c r="N87" s="35">
        <f t="shared" ref="N87:S87" si="32">IF($C86=0,IF($C87=0,IF($C88=0,IF($C89=0,D86,D87),D87),D86),D87)</f>
        <v>0</v>
      </c>
      <c r="O87" s="36">
        <f t="shared" si="32"/>
        <v>1</v>
      </c>
      <c r="P87" s="36">
        <f t="shared" si="32"/>
        <v>0</v>
      </c>
      <c r="Q87" s="36">
        <f t="shared" si="32"/>
        <v>0</v>
      </c>
      <c r="R87" s="36" t="str">
        <f t="shared" si="32"/>
        <v>\\</v>
      </c>
      <c r="S87" s="42">
        <f t="shared" si="32"/>
        <v>2</v>
      </c>
      <c r="T87" s="568"/>
      <c r="U87" s="569"/>
      <c r="V87" s="569"/>
      <c r="W87" s="569"/>
      <c r="X87" s="569"/>
      <c r="Y87" s="569"/>
      <c r="Z87" s="570"/>
      <c r="AA87" s="51"/>
    </row>
    <row r="88" spans="2:27" x14ac:dyDescent="0.25">
      <c r="B88" s="50"/>
      <c r="C88" s="13" cm="1">
        <f t="array" ref="C88">IF(SUM(ABS(D79:G79))=0,0,1)</f>
        <v>1</v>
      </c>
      <c r="D88" s="234">
        <f t="shared" si="30"/>
        <v>0</v>
      </c>
      <c r="E88" s="218">
        <f t="shared" si="30"/>
        <v>0</v>
      </c>
      <c r="F88" s="218">
        <f t="shared" si="30"/>
        <v>1</v>
      </c>
      <c r="G88" s="218">
        <f t="shared" si="30"/>
        <v>0</v>
      </c>
      <c r="H88" s="218" t="str">
        <f t="shared" si="30"/>
        <v>\\</v>
      </c>
      <c r="I88" s="231">
        <f t="shared" si="30"/>
        <v>3</v>
      </c>
      <c r="J88" s="581"/>
      <c r="K88" s="563"/>
      <c r="L88" s="50"/>
      <c r="M88" s="2">
        <f t="shared" ref="M88:S88" si="33">IF($C86=0,IF($C87=0,IF($C88=0,IF($C89=0,C88,C88),C86),C88),C88)</f>
        <v>1</v>
      </c>
      <c r="N88" s="35">
        <f t="shared" si="33"/>
        <v>0</v>
      </c>
      <c r="O88" s="36">
        <f t="shared" si="33"/>
        <v>0</v>
      </c>
      <c r="P88" s="36">
        <f t="shared" si="33"/>
        <v>1</v>
      </c>
      <c r="Q88" s="36">
        <f t="shared" si="33"/>
        <v>0</v>
      </c>
      <c r="R88" s="36" t="str">
        <f t="shared" si="33"/>
        <v>\\</v>
      </c>
      <c r="S88" s="42">
        <f t="shared" si="33"/>
        <v>3</v>
      </c>
      <c r="T88" s="568"/>
      <c r="U88" s="569"/>
      <c r="V88" s="569"/>
      <c r="W88" s="569"/>
      <c r="X88" s="569"/>
      <c r="Y88" s="569"/>
      <c r="Z88" s="570"/>
      <c r="AA88" s="51"/>
    </row>
    <row r="89" spans="2:27" ht="15.75" thickBot="1" x14ac:dyDescent="0.3">
      <c r="B89" s="50"/>
      <c r="C89" s="5" cm="1">
        <f t="array" ref="C89">IF(SUM(ABS( D80:G80))=0,0,1)</f>
        <v>1</v>
      </c>
      <c r="D89" s="235">
        <f t="shared" si="30"/>
        <v>0</v>
      </c>
      <c r="E89" s="221">
        <f t="shared" si="30"/>
        <v>0</v>
      </c>
      <c r="F89" s="221">
        <f t="shared" si="30"/>
        <v>0</v>
      </c>
      <c r="G89" s="221">
        <f t="shared" si="30"/>
        <v>1</v>
      </c>
      <c r="H89" s="221" t="str">
        <f t="shared" si="30"/>
        <v>\\</v>
      </c>
      <c r="I89" s="232">
        <f t="shared" si="30"/>
        <v>4</v>
      </c>
      <c r="J89" s="581"/>
      <c r="K89" s="563"/>
      <c r="L89" s="50"/>
      <c r="M89" s="2">
        <f t="shared" ref="M89:S89" si="34">IF($C86=0,IF($C87=0,IF($C88=0,IF($C89=0,C89,C86),C89),C89),C89)</f>
        <v>1</v>
      </c>
      <c r="N89" s="37">
        <f t="shared" si="34"/>
        <v>0</v>
      </c>
      <c r="O89" s="38">
        <f t="shared" si="34"/>
        <v>0</v>
      </c>
      <c r="P89" s="38">
        <f t="shared" si="34"/>
        <v>0</v>
      </c>
      <c r="Q89" s="38">
        <f t="shared" si="34"/>
        <v>1</v>
      </c>
      <c r="R89" s="38" t="str">
        <f t="shared" si="34"/>
        <v>\\</v>
      </c>
      <c r="S89" s="43">
        <f t="shared" si="34"/>
        <v>4</v>
      </c>
      <c r="T89" s="568"/>
      <c r="U89" s="569"/>
      <c r="V89" s="569"/>
      <c r="W89" s="569"/>
      <c r="X89" s="569"/>
      <c r="Y89" s="569"/>
      <c r="Z89" s="570"/>
      <c r="AA89" s="51"/>
    </row>
    <row r="90" spans="2:27" ht="15.75" thickBot="1" x14ac:dyDescent="0.3">
      <c r="B90" s="50"/>
      <c r="C90" s="564" t="s">
        <v>163</v>
      </c>
      <c r="D90" s="85">
        <f>IF(SUM(D77:D80)=0,0,1)</f>
        <v>1</v>
      </c>
      <c r="E90" s="85">
        <f t="shared" ref="E90:G90" si="35">IF(SUM(E77:E80)=0,0,1)</f>
        <v>1</v>
      </c>
      <c r="F90" s="85">
        <f t="shared" si="35"/>
        <v>1</v>
      </c>
      <c r="G90" s="85">
        <f t="shared" si="35"/>
        <v>1</v>
      </c>
      <c r="L90" s="50"/>
      <c r="M90" s="2"/>
      <c r="N90" s="2"/>
      <c r="O90" s="2"/>
      <c r="P90" s="2"/>
      <c r="Q90" s="2"/>
      <c r="R90" s="2"/>
      <c r="S90" s="2"/>
      <c r="T90" s="117"/>
      <c r="U90" s="117"/>
      <c r="V90" s="117"/>
      <c r="W90" s="117"/>
      <c r="X90" s="117"/>
      <c r="Y90" s="117"/>
      <c r="Z90" s="140"/>
      <c r="AA90" s="51"/>
    </row>
    <row r="91" spans="2:27" ht="15.75" thickBot="1" x14ac:dyDescent="0.3">
      <c r="B91" s="50"/>
      <c r="C91" s="565"/>
      <c r="L91" s="50"/>
      <c r="M91" s="2">
        <f>M86</f>
        <v>1</v>
      </c>
      <c r="N91" s="33">
        <f t="shared" ref="N91:S91" si="36">N86</f>
        <v>1</v>
      </c>
      <c r="O91" s="34">
        <f t="shared" si="36"/>
        <v>0</v>
      </c>
      <c r="P91" s="34">
        <f t="shared" si="36"/>
        <v>0</v>
      </c>
      <c r="Q91" s="34">
        <f t="shared" si="36"/>
        <v>0</v>
      </c>
      <c r="R91" s="34" t="str">
        <f t="shared" si="36"/>
        <v>\\</v>
      </c>
      <c r="S91" s="41">
        <f t="shared" si="36"/>
        <v>1.0000000000000013</v>
      </c>
      <c r="T91" s="568" t="s">
        <v>158</v>
      </c>
      <c r="U91" s="569" t="s">
        <v>284</v>
      </c>
      <c r="V91" s="569"/>
      <c r="W91" s="569"/>
      <c r="X91" s="569"/>
      <c r="Y91" s="569"/>
      <c r="Z91" s="570"/>
      <c r="AA91" s="51"/>
    </row>
    <row r="92" spans="2:27" ht="15.75" thickBot="1" x14ac:dyDescent="0.3">
      <c r="B92" s="50"/>
      <c r="L92" s="50"/>
      <c r="M92" s="2">
        <f t="shared" ref="M92:S92" si="37">IF($M87=0,IF($M88=0,IF($M89=0,M87,M89),M88),M87)</f>
        <v>1</v>
      </c>
      <c r="N92" s="35">
        <f t="shared" si="37"/>
        <v>0</v>
      </c>
      <c r="O92" s="36">
        <f t="shared" si="37"/>
        <v>1</v>
      </c>
      <c r="P92" s="36">
        <f t="shared" si="37"/>
        <v>0</v>
      </c>
      <c r="Q92" s="36">
        <f t="shared" si="37"/>
        <v>0</v>
      </c>
      <c r="R92" s="36" t="str">
        <f t="shared" si="37"/>
        <v>\\</v>
      </c>
      <c r="S92" s="42">
        <f t="shared" si="37"/>
        <v>2</v>
      </c>
      <c r="T92" s="568"/>
      <c r="U92" s="569"/>
      <c r="V92" s="569"/>
      <c r="W92" s="569"/>
      <c r="X92" s="569"/>
      <c r="Y92" s="569"/>
      <c r="Z92" s="570"/>
      <c r="AA92" s="51"/>
    </row>
    <row r="93" spans="2:27" ht="15.75" thickBot="1" x14ac:dyDescent="0.3">
      <c r="B93" s="50"/>
      <c r="D93" s="552" t="s">
        <v>162</v>
      </c>
      <c r="E93" s="554"/>
      <c r="F93" s="132">
        <f>SUM(C86:C89)</f>
        <v>4</v>
      </c>
      <c r="L93" s="50"/>
      <c r="M93" s="2">
        <f t="shared" ref="M93:S93" si="38">IF($M87=0,IF($M88=0,IF($M89=0,M88,M88),M87),M88)</f>
        <v>1</v>
      </c>
      <c r="N93" s="35">
        <f t="shared" si="38"/>
        <v>0</v>
      </c>
      <c r="O93" s="36">
        <f t="shared" si="38"/>
        <v>0</v>
      </c>
      <c r="P93" s="36">
        <f t="shared" si="38"/>
        <v>1</v>
      </c>
      <c r="Q93" s="36">
        <f t="shared" si="38"/>
        <v>0</v>
      </c>
      <c r="R93" s="36" t="str">
        <f t="shared" si="38"/>
        <v>\\</v>
      </c>
      <c r="S93" s="42">
        <f t="shared" si="38"/>
        <v>3</v>
      </c>
      <c r="T93" s="568"/>
      <c r="U93" s="569"/>
      <c r="V93" s="569"/>
      <c r="W93" s="569"/>
      <c r="X93" s="569"/>
      <c r="Y93" s="569"/>
      <c r="Z93" s="570"/>
      <c r="AA93" s="51"/>
    </row>
    <row r="94" spans="2:27" ht="15.75" thickBot="1" x14ac:dyDescent="0.3">
      <c r="B94" s="50"/>
      <c r="D94" s="552" t="s">
        <v>163</v>
      </c>
      <c r="E94" s="554"/>
      <c r="F94" s="132">
        <f>SUM(D90:G90)</f>
        <v>4</v>
      </c>
      <c r="L94" s="50"/>
      <c r="M94" s="2">
        <f t="shared" ref="M94:S94" si="39">IF($M87=0,IF($M88=0,IF($M89=0,M89,M87),M89),M89)</f>
        <v>1</v>
      </c>
      <c r="N94" s="37">
        <f t="shared" si="39"/>
        <v>0</v>
      </c>
      <c r="O94" s="38">
        <f t="shared" si="39"/>
        <v>0</v>
      </c>
      <c r="P94" s="38">
        <f t="shared" si="39"/>
        <v>0</v>
      </c>
      <c r="Q94" s="38">
        <f t="shared" si="39"/>
        <v>1</v>
      </c>
      <c r="R94" s="38" t="str">
        <f t="shared" si="39"/>
        <v>\\</v>
      </c>
      <c r="S94" s="43">
        <f t="shared" si="39"/>
        <v>4</v>
      </c>
      <c r="T94" s="568"/>
      <c r="U94" s="569"/>
      <c r="V94" s="569"/>
      <c r="W94" s="569"/>
      <c r="X94" s="569"/>
      <c r="Y94" s="569"/>
      <c r="Z94" s="570"/>
      <c r="AA94" s="51"/>
    </row>
    <row r="95" spans="2:27" ht="15.75" thickBot="1" x14ac:dyDescent="0.3">
      <c r="B95" s="50"/>
      <c r="L95" s="50"/>
      <c r="M95" s="2"/>
      <c r="N95" s="2"/>
      <c r="O95" s="2"/>
      <c r="P95" s="2"/>
      <c r="Q95" s="2"/>
      <c r="R95" s="2"/>
      <c r="S95" s="2"/>
      <c r="T95" s="117"/>
      <c r="U95" s="204"/>
      <c r="V95" s="204"/>
      <c r="W95" s="204"/>
      <c r="X95" s="204"/>
      <c r="Y95" s="204"/>
      <c r="Z95" s="210"/>
      <c r="AA95" s="51"/>
    </row>
    <row r="96" spans="2:27" ht="16.5" thickBot="1" x14ac:dyDescent="0.3">
      <c r="B96" s="50"/>
      <c r="C96" s="228" t="s">
        <v>164</v>
      </c>
      <c r="L96" s="211" t="s">
        <v>165</v>
      </c>
      <c r="M96" s="2">
        <f>M91</f>
        <v>1</v>
      </c>
      <c r="N96" s="33">
        <f t="shared" ref="N96:S96" si="40">N91</f>
        <v>1</v>
      </c>
      <c r="O96" s="34">
        <f t="shared" si="40"/>
        <v>0</v>
      </c>
      <c r="P96" s="34">
        <f t="shared" si="40"/>
        <v>0</v>
      </c>
      <c r="Q96" s="34">
        <f t="shared" si="40"/>
        <v>0</v>
      </c>
      <c r="R96" s="34" t="str">
        <f t="shared" si="40"/>
        <v>\\</v>
      </c>
      <c r="S96" s="41">
        <f t="shared" si="40"/>
        <v>1.0000000000000013</v>
      </c>
      <c r="T96" s="568" t="s">
        <v>158</v>
      </c>
      <c r="U96" s="569" t="s">
        <v>283</v>
      </c>
      <c r="V96" s="569"/>
      <c r="W96" s="569"/>
      <c r="X96" s="569"/>
      <c r="Y96" s="569"/>
      <c r="Z96" s="570"/>
      <c r="AA96" s="51"/>
    </row>
    <row r="97" spans="2:27" ht="15.75" thickBot="1" x14ac:dyDescent="0.3">
      <c r="B97" s="50"/>
      <c r="D97" s="579" t="s">
        <v>161</v>
      </c>
      <c r="E97" s="580"/>
      <c r="F97" s="77">
        <f>MIN(F93:F94)</f>
        <v>4</v>
      </c>
      <c r="L97" s="211" t="s">
        <v>166</v>
      </c>
      <c r="M97" s="2">
        <f>M92</f>
        <v>1</v>
      </c>
      <c r="N97" s="35">
        <f t="shared" ref="N97:S97" si="41">N92</f>
        <v>0</v>
      </c>
      <c r="O97" s="36">
        <f t="shared" si="41"/>
        <v>1</v>
      </c>
      <c r="P97" s="36">
        <f t="shared" si="41"/>
        <v>0</v>
      </c>
      <c r="Q97" s="36">
        <f t="shared" si="41"/>
        <v>0</v>
      </c>
      <c r="R97" s="36" t="str">
        <f t="shared" si="41"/>
        <v>\\</v>
      </c>
      <c r="S97" s="42">
        <f t="shared" si="41"/>
        <v>2</v>
      </c>
      <c r="T97" s="568"/>
      <c r="U97" s="569"/>
      <c r="V97" s="569"/>
      <c r="W97" s="569"/>
      <c r="X97" s="569"/>
      <c r="Y97" s="569"/>
      <c r="Z97" s="570"/>
      <c r="AA97" s="51"/>
    </row>
    <row r="98" spans="2:27" x14ac:dyDescent="0.25">
      <c r="B98" s="50"/>
      <c r="L98" s="211" t="s">
        <v>167</v>
      </c>
      <c r="M98" s="2">
        <f t="shared" ref="M98:S98" si="42">IF($M93=0,IF($M94=0,M93,M94),M93)</f>
        <v>1</v>
      </c>
      <c r="N98" s="35">
        <f t="shared" si="42"/>
        <v>0</v>
      </c>
      <c r="O98" s="36">
        <f t="shared" si="42"/>
        <v>0</v>
      </c>
      <c r="P98" s="36">
        <f t="shared" si="42"/>
        <v>1</v>
      </c>
      <c r="Q98" s="36">
        <f t="shared" si="42"/>
        <v>0</v>
      </c>
      <c r="R98" s="36" t="str">
        <f t="shared" si="42"/>
        <v>\\</v>
      </c>
      <c r="S98" s="42">
        <f t="shared" si="42"/>
        <v>3</v>
      </c>
      <c r="T98" s="568"/>
      <c r="U98" s="569"/>
      <c r="V98" s="569"/>
      <c r="W98" s="569"/>
      <c r="X98" s="569"/>
      <c r="Y98" s="569"/>
      <c r="Z98" s="570"/>
      <c r="AA98" s="51"/>
    </row>
    <row r="99" spans="2:27" ht="15.75" thickBot="1" x14ac:dyDescent="0.3">
      <c r="B99" s="50"/>
      <c r="L99" s="212" t="s">
        <v>168</v>
      </c>
      <c r="M99" s="101">
        <f t="shared" ref="M99:S99" si="43">IF($M93=0,IF($M94=0,M94,M93),M94)</f>
        <v>1</v>
      </c>
      <c r="N99" s="37">
        <f t="shared" si="43"/>
        <v>0</v>
      </c>
      <c r="O99" s="38">
        <f t="shared" si="43"/>
        <v>0</v>
      </c>
      <c r="P99" s="38">
        <f t="shared" si="43"/>
        <v>0</v>
      </c>
      <c r="Q99" s="38">
        <f t="shared" si="43"/>
        <v>1</v>
      </c>
      <c r="R99" s="38" t="str">
        <f t="shared" si="43"/>
        <v>\\</v>
      </c>
      <c r="S99" s="43">
        <f t="shared" si="43"/>
        <v>4</v>
      </c>
      <c r="T99" s="571"/>
      <c r="U99" s="572"/>
      <c r="V99" s="572"/>
      <c r="W99" s="572"/>
      <c r="X99" s="572"/>
      <c r="Y99" s="572"/>
      <c r="Z99" s="573"/>
      <c r="AA99" s="51"/>
    </row>
    <row r="100" spans="2:27" x14ac:dyDescent="0.25">
      <c r="B100" s="50"/>
      <c r="AA100" s="51"/>
    </row>
    <row r="101" spans="2:27" x14ac:dyDescent="0.25">
      <c r="B101" s="50"/>
      <c r="AA101" s="51"/>
    </row>
    <row r="102" spans="2:27" ht="17.25" x14ac:dyDescent="0.3">
      <c r="B102" s="50"/>
      <c r="C102" s="561" t="s">
        <v>286</v>
      </c>
      <c r="D102" s="561"/>
      <c r="E102" s="561"/>
      <c r="F102" s="561"/>
      <c r="G102" s="561"/>
      <c r="H102" s="561"/>
      <c r="I102" s="561"/>
      <c r="J102" s="561"/>
      <c r="K102" s="117" t="s">
        <v>287</v>
      </c>
      <c r="AA102" s="51"/>
    </row>
    <row r="103" spans="2:27" ht="15.75" thickBot="1" x14ac:dyDescent="0.3">
      <c r="B103" s="50"/>
      <c r="AA103" s="51"/>
    </row>
    <row r="104" spans="2:27" ht="15.75" thickBot="1" x14ac:dyDescent="0.3">
      <c r="B104" s="50"/>
      <c r="E104" s="552" t="s">
        <v>169</v>
      </c>
      <c r="F104" s="554"/>
      <c r="H104" s="552" t="s">
        <v>170</v>
      </c>
      <c r="I104" s="554"/>
      <c r="K104" s="552" t="s">
        <v>171</v>
      </c>
      <c r="L104" s="554"/>
      <c r="AA104" s="51"/>
    </row>
    <row r="105" spans="2:27" x14ac:dyDescent="0.25">
      <c r="B105" s="50"/>
      <c r="E105" s="574">
        <f>S96</f>
        <v>1.0000000000000013</v>
      </c>
      <c r="F105" s="575"/>
      <c r="H105" s="555">
        <f>E105</f>
        <v>1.0000000000000013</v>
      </c>
      <c r="I105" s="556"/>
      <c r="K105" s="555">
        <f>H105</f>
        <v>1.0000000000000013</v>
      </c>
      <c r="L105" s="556"/>
      <c r="AA105" s="51"/>
    </row>
    <row r="106" spans="2:27" x14ac:dyDescent="0.25">
      <c r="B106" s="50"/>
      <c r="E106" s="576">
        <f>IF(AND(M96=0, M97=0),IF(OR(S96&lt;&gt;0,S97&lt;&gt;0), S97-((S97/S96)*S96),S97),S97)</f>
        <v>2</v>
      </c>
      <c r="F106" s="577"/>
      <c r="H106" s="557">
        <f>S97</f>
        <v>2</v>
      </c>
      <c r="I106" s="558"/>
      <c r="K106" s="557">
        <f>H106</f>
        <v>2</v>
      </c>
      <c r="L106" s="558"/>
      <c r="AA106" s="51"/>
    </row>
    <row r="107" spans="2:27" x14ac:dyDescent="0.25">
      <c r="B107" s="50"/>
      <c r="E107" s="576">
        <f>S98</f>
        <v>3</v>
      </c>
      <c r="F107" s="577"/>
      <c r="H107" s="557">
        <f>IF(AND(M96=0, M98=0),IF(OR(E105&lt;&gt;0,E107&lt;&gt;0), E107-((E107/E105)*E105),E107),E107)</f>
        <v>3</v>
      </c>
      <c r="I107" s="558"/>
      <c r="K107" s="557">
        <f>H107</f>
        <v>3</v>
      </c>
      <c r="L107" s="558"/>
      <c r="AA107" s="51"/>
    </row>
    <row r="108" spans="2:27" ht="15.75" thickBot="1" x14ac:dyDescent="0.3">
      <c r="B108" s="50"/>
      <c r="E108" s="578">
        <f>S99</f>
        <v>4</v>
      </c>
      <c r="F108" s="516"/>
      <c r="H108" s="559">
        <f>S99</f>
        <v>4</v>
      </c>
      <c r="I108" s="560"/>
      <c r="K108" s="559">
        <f>IF(AND(M96=0, M99=0),IF(OR(E105&lt;&gt;0,E108&lt;&gt;0), E108-((E108/E105)*E105),E108),E108)</f>
        <v>4</v>
      </c>
      <c r="L108" s="560"/>
      <c r="AA108" s="51"/>
    </row>
    <row r="109" spans="2:27" x14ac:dyDescent="0.25">
      <c r="B109" s="50"/>
      <c r="AA109" s="51"/>
    </row>
    <row r="110" spans="2:27" ht="15.75" thickBot="1" x14ac:dyDescent="0.3">
      <c r="B110" s="50"/>
      <c r="AA110" s="51"/>
    </row>
    <row r="111" spans="2:27" ht="15.75" thickBot="1" x14ac:dyDescent="0.3">
      <c r="B111" s="50"/>
      <c r="E111" s="552" t="s">
        <v>172</v>
      </c>
      <c r="F111" s="554"/>
      <c r="H111" s="552" t="s">
        <v>173</v>
      </c>
      <c r="I111" s="554"/>
      <c r="AA111" s="51"/>
    </row>
    <row r="112" spans="2:27" x14ac:dyDescent="0.25">
      <c r="B112" s="50"/>
      <c r="E112" s="555">
        <f>K105</f>
        <v>1.0000000000000013</v>
      </c>
      <c r="F112" s="556"/>
      <c r="H112" s="555">
        <f>K105</f>
        <v>1.0000000000000013</v>
      </c>
      <c r="I112" s="556"/>
      <c r="AA112" s="51"/>
    </row>
    <row r="113" spans="2:27" x14ac:dyDescent="0.25">
      <c r="B113" s="50"/>
      <c r="E113" s="557">
        <f>K106</f>
        <v>2</v>
      </c>
      <c r="F113" s="558"/>
      <c r="H113" s="557">
        <f>E113</f>
        <v>2</v>
      </c>
      <c r="I113" s="558"/>
      <c r="AA113" s="51"/>
    </row>
    <row r="114" spans="2:27" x14ac:dyDescent="0.25">
      <c r="B114" s="50"/>
      <c r="E114" s="557">
        <f>IF(AND(M97=0, M98=0),IF(OR(K106&lt;&gt;0,K107&lt;&gt;0), K107-((K107/K106)*K106),K107),K107)</f>
        <v>3</v>
      </c>
      <c r="F114" s="558"/>
      <c r="H114" s="557">
        <f>E114</f>
        <v>3</v>
      </c>
      <c r="I114" s="558"/>
      <c r="AA114" s="51"/>
    </row>
    <row r="115" spans="2:27" ht="15.75" thickBot="1" x14ac:dyDescent="0.3">
      <c r="B115" s="50"/>
      <c r="E115" s="559">
        <f>K108</f>
        <v>4</v>
      </c>
      <c r="F115" s="560"/>
      <c r="H115" s="559">
        <f>IF(AND(M97=0, M99=0),IF(AND(E113&lt;&gt;0,E115&lt;&gt;0), E115-((E115/E113)*E113),E115),E115)</f>
        <v>4</v>
      </c>
      <c r="I115" s="560"/>
      <c r="AA115" s="51"/>
    </row>
    <row r="116" spans="2:27" x14ac:dyDescent="0.25">
      <c r="B116" s="50"/>
      <c r="AA116" s="51"/>
    </row>
    <row r="117" spans="2:27" ht="15.75" thickBot="1" x14ac:dyDescent="0.3">
      <c r="B117" s="50"/>
      <c r="AA117" s="51"/>
    </row>
    <row r="118" spans="2:27" ht="15.75" thickBot="1" x14ac:dyDescent="0.3">
      <c r="B118" s="50"/>
      <c r="E118" s="552" t="s">
        <v>174</v>
      </c>
      <c r="F118" s="554"/>
      <c r="AA118" s="51"/>
    </row>
    <row r="119" spans="2:27" x14ac:dyDescent="0.25">
      <c r="B119" s="50"/>
      <c r="E119" s="555">
        <f>H112</f>
        <v>1.0000000000000013</v>
      </c>
      <c r="F119" s="556"/>
      <c r="AA119" s="51"/>
    </row>
    <row r="120" spans="2:27" x14ac:dyDescent="0.25">
      <c r="B120" s="50"/>
      <c r="E120" s="557">
        <f>H113</f>
        <v>2</v>
      </c>
      <c r="F120" s="558"/>
      <c r="AA120" s="51"/>
    </row>
    <row r="121" spans="2:27" x14ac:dyDescent="0.25">
      <c r="B121" s="50"/>
      <c r="E121" s="557">
        <f>H114</f>
        <v>3</v>
      </c>
      <c r="F121" s="558"/>
      <c r="AA121" s="51"/>
    </row>
    <row r="122" spans="2:27" ht="15.75" thickBot="1" x14ac:dyDescent="0.3">
      <c r="B122" s="50"/>
      <c r="E122" s="559">
        <f>IF(AND(M98=0, M99=0),IF(OR(H114&lt;&gt;0,H115&lt;&gt;0), H115-((H115/H114)*H114),H115),H115)</f>
        <v>4</v>
      </c>
      <c r="F122" s="560"/>
      <c r="AA122" s="51"/>
    </row>
    <row r="123" spans="2:27" x14ac:dyDescent="0.25">
      <c r="B123" s="50"/>
      <c r="AA123" s="51"/>
    </row>
    <row r="124" spans="2:27" x14ac:dyDescent="0.25">
      <c r="B124" s="50"/>
      <c r="AA124" s="51"/>
    </row>
    <row r="125" spans="2:27" x14ac:dyDescent="0.25">
      <c r="B125" s="50"/>
      <c r="AA125" s="51"/>
    </row>
    <row r="126" spans="2:27" ht="17.25" x14ac:dyDescent="0.3">
      <c r="B126" s="50"/>
      <c r="D126" s="561" t="s">
        <v>288</v>
      </c>
      <c r="E126" s="561"/>
      <c r="F126" s="561"/>
      <c r="G126" s="561"/>
      <c r="H126" s="561"/>
      <c r="I126" s="229"/>
      <c r="J126" s="229"/>
      <c r="K126" s="229"/>
      <c r="AA126" s="51"/>
    </row>
    <row r="127" spans="2:27" ht="15.75" thickBot="1" x14ac:dyDescent="0.3">
      <c r="B127" s="50"/>
      <c r="AA127" s="51"/>
    </row>
    <row r="128" spans="2:27" ht="15.75" thickBot="1" x14ac:dyDescent="0.3">
      <c r="B128" s="50"/>
      <c r="D128" s="207" t="s">
        <v>176</v>
      </c>
      <c r="K128" s="207" t="s">
        <v>177</v>
      </c>
      <c r="AA128" s="51"/>
    </row>
    <row r="129" spans="2:27" x14ac:dyDescent="0.25">
      <c r="B129" s="50"/>
      <c r="D129" s="222">
        <f t="shared" ref="D129:I132" si="44">M96</f>
        <v>1</v>
      </c>
      <c r="E129" s="213">
        <f t="shared" si="44"/>
        <v>1</v>
      </c>
      <c r="F129" s="214">
        <f t="shared" si="44"/>
        <v>0</v>
      </c>
      <c r="G129" s="214">
        <f t="shared" si="44"/>
        <v>0</v>
      </c>
      <c r="H129" s="214">
        <f t="shared" si="44"/>
        <v>0</v>
      </c>
      <c r="I129" s="215" t="str">
        <f t="shared" si="44"/>
        <v>\\</v>
      </c>
      <c r="J129" s="230">
        <f>E119</f>
        <v>1.0000000000000013</v>
      </c>
      <c r="K129" s="225">
        <f>IF(D129=0,IF(J129=0,0,1),1)</f>
        <v>1</v>
      </c>
      <c r="AA129" s="51"/>
    </row>
    <row r="130" spans="2:27" x14ac:dyDescent="0.25">
      <c r="B130" s="562" t="s">
        <v>175</v>
      </c>
      <c r="C130" s="563" t="s">
        <v>158</v>
      </c>
      <c r="D130" s="223">
        <f t="shared" si="44"/>
        <v>1</v>
      </c>
      <c r="E130" s="216">
        <f t="shared" si="44"/>
        <v>0</v>
      </c>
      <c r="F130" s="217">
        <f t="shared" si="44"/>
        <v>1</v>
      </c>
      <c r="G130" s="217">
        <f t="shared" si="44"/>
        <v>0</v>
      </c>
      <c r="H130" s="217">
        <f t="shared" si="44"/>
        <v>0</v>
      </c>
      <c r="I130" s="218" t="str">
        <f t="shared" si="44"/>
        <v>\\</v>
      </c>
      <c r="J130" s="231">
        <f>E120</f>
        <v>2</v>
      </c>
      <c r="K130" s="226">
        <f t="shared" ref="K130:K132" si="45">IF(D130=0,IF(J130=0,0,1),1)</f>
        <v>1</v>
      </c>
      <c r="AA130" s="51"/>
    </row>
    <row r="131" spans="2:27" x14ac:dyDescent="0.25">
      <c r="B131" s="562"/>
      <c r="C131" s="563"/>
      <c r="D131" s="223">
        <f t="shared" si="44"/>
        <v>1</v>
      </c>
      <c r="E131" s="216">
        <f t="shared" si="44"/>
        <v>0</v>
      </c>
      <c r="F131" s="217">
        <f t="shared" si="44"/>
        <v>0</v>
      </c>
      <c r="G131" s="217">
        <f t="shared" si="44"/>
        <v>1</v>
      </c>
      <c r="H131" s="217">
        <f t="shared" si="44"/>
        <v>0</v>
      </c>
      <c r="I131" s="218" t="str">
        <f t="shared" si="44"/>
        <v>\\</v>
      </c>
      <c r="J131" s="231">
        <f>E121</f>
        <v>3</v>
      </c>
      <c r="K131" s="226">
        <f t="shared" si="45"/>
        <v>1</v>
      </c>
      <c r="AA131" s="51"/>
    </row>
    <row r="132" spans="2:27" ht="15.75" thickBot="1" x14ac:dyDescent="0.3">
      <c r="B132" s="50"/>
      <c r="D132" s="224">
        <f t="shared" si="44"/>
        <v>1</v>
      </c>
      <c r="E132" s="219">
        <f t="shared" si="44"/>
        <v>0</v>
      </c>
      <c r="F132" s="220">
        <f t="shared" si="44"/>
        <v>0</v>
      </c>
      <c r="G132" s="220">
        <f t="shared" si="44"/>
        <v>0</v>
      </c>
      <c r="H132" s="220">
        <f t="shared" si="44"/>
        <v>1</v>
      </c>
      <c r="I132" s="221" t="str">
        <f t="shared" si="44"/>
        <v>\\</v>
      </c>
      <c r="J132" s="232">
        <f>E122</f>
        <v>4</v>
      </c>
      <c r="K132" s="227">
        <f t="shared" si="45"/>
        <v>1</v>
      </c>
      <c r="AA132" s="51"/>
    </row>
    <row r="133" spans="2:27" x14ac:dyDescent="0.25">
      <c r="B133" s="50"/>
      <c r="AA133" s="51"/>
    </row>
    <row r="134" spans="2:27" x14ac:dyDescent="0.25">
      <c r="B134" s="50"/>
      <c r="AA134" s="51"/>
    </row>
    <row r="135" spans="2:27" ht="16.5" thickBot="1" x14ac:dyDescent="0.3">
      <c r="B135" s="50"/>
      <c r="C135" s="228" t="s">
        <v>164</v>
      </c>
      <c r="AA135" s="51"/>
    </row>
    <row r="136" spans="2:27" x14ac:dyDescent="0.25">
      <c r="B136" s="50"/>
      <c r="D136" s="564" t="s">
        <v>177</v>
      </c>
      <c r="E136" s="566">
        <f>SUM(K129:K132)</f>
        <v>4</v>
      </c>
      <c r="AA136" s="51"/>
    </row>
    <row r="137" spans="2:27" ht="15.75" thickBot="1" x14ac:dyDescent="0.3">
      <c r="B137" s="50"/>
      <c r="D137" s="565"/>
      <c r="E137" s="567"/>
      <c r="AA137" s="51"/>
    </row>
    <row r="138" spans="2:27" ht="15.75" thickBot="1" x14ac:dyDescent="0.3">
      <c r="B138" s="52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40"/>
    </row>
    <row r="139" spans="2:27" x14ac:dyDescent="0.25"/>
    <row r="140" spans="2:27" x14ac:dyDescent="0.25"/>
  </sheetData>
  <mergeCells count="85">
    <mergeCell ref="B1:AA1"/>
    <mergeCell ref="C15:H15"/>
    <mergeCell ref="C20:F20"/>
    <mergeCell ref="J15:O15"/>
    <mergeCell ref="J20:M20"/>
    <mergeCell ref="B12:AA12"/>
    <mergeCell ref="T15:Y15"/>
    <mergeCell ref="T16:Y16"/>
    <mergeCell ref="T17:Y17"/>
    <mergeCell ref="T18:Y18"/>
    <mergeCell ref="T19:Y19"/>
    <mergeCell ref="J3:S3"/>
    <mergeCell ref="B23:AA23"/>
    <mergeCell ref="J27:J30"/>
    <mergeCell ref="K27:O30"/>
    <mergeCell ref="C25:J25"/>
    <mergeCell ref="K57:P60"/>
    <mergeCell ref="K42:O45"/>
    <mergeCell ref="K47:O50"/>
    <mergeCell ref="K37:O40"/>
    <mergeCell ref="K32:O35"/>
    <mergeCell ref="K52:O55"/>
    <mergeCell ref="C84:C85"/>
    <mergeCell ref="J32:J35"/>
    <mergeCell ref="J37:J40"/>
    <mergeCell ref="J42:J45"/>
    <mergeCell ref="J47:J50"/>
    <mergeCell ref="J52:J55"/>
    <mergeCell ref="J57:J60"/>
    <mergeCell ref="J62:J65"/>
    <mergeCell ref="J67:J70"/>
    <mergeCell ref="J72:J75"/>
    <mergeCell ref="C82:J82"/>
    <mergeCell ref="K62:O65"/>
    <mergeCell ref="K67:O70"/>
    <mergeCell ref="K72:P75"/>
    <mergeCell ref="K77:P80"/>
    <mergeCell ref="J77:J80"/>
    <mergeCell ref="C90:C91"/>
    <mergeCell ref="D93:E93"/>
    <mergeCell ref="D94:E94"/>
    <mergeCell ref="D97:E97"/>
    <mergeCell ref="J86:K89"/>
    <mergeCell ref="E108:F108"/>
    <mergeCell ref="H104:I104"/>
    <mergeCell ref="H105:I105"/>
    <mergeCell ref="H106:I106"/>
    <mergeCell ref="H107:I107"/>
    <mergeCell ref="H108:I108"/>
    <mergeCell ref="C102:J102"/>
    <mergeCell ref="E104:F104"/>
    <mergeCell ref="E105:F105"/>
    <mergeCell ref="E106:F106"/>
    <mergeCell ref="E107:F107"/>
    <mergeCell ref="K104:L104"/>
    <mergeCell ref="K105:L105"/>
    <mergeCell ref="K106:L106"/>
    <mergeCell ref="K107:L107"/>
    <mergeCell ref="K108:L108"/>
    <mergeCell ref="T86:T89"/>
    <mergeCell ref="U86:Z89"/>
    <mergeCell ref="T91:T94"/>
    <mergeCell ref="T96:T99"/>
    <mergeCell ref="U91:Z94"/>
    <mergeCell ref="U96:Z99"/>
    <mergeCell ref="D126:H126"/>
    <mergeCell ref="B130:B131"/>
    <mergeCell ref="C130:C131"/>
    <mergeCell ref="D136:D137"/>
    <mergeCell ref="E136:E137"/>
    <mergeCell ref="E119:F119"/>
    <mergeCell ref="E120:F120"/>
    <mergeCell ref="E121:F121"/>
    <mergeCell ref="E122:F122"/>
    <mergeCell ref="H111:I111"/>
    <mergeCell ref="H112:I112"/>
    <mergeCell ref="H113:I113"/>
    <mergeCell ref="H114:I114"/>
    <mergeCell ref="H115:I115"/>
    <mergeCell ref="E118:F118"/>
    <mergeCell ref="E111:F111"/>
    <mergeCell ref="E112:F112"/>
    <mergeCell ref="E113:F113"/>
    <mergeCell ref="E114:F114"/>
    <mergeCell ref="E115:F115"/>
  </mergeCells>
  <phoneticPr fontId="16" type="noConversion"/>
  <hyperlinks>
    <hyperlink ref="G16" r:id="rId1" xr:uid="{E89E27A5-D6A3-4751-A11B-26385249A655}"/>
    <hyperlink ref="G17:G19" r:id="rId2" display="\\" xr:uid="{2D339BEE-9333-4987-9677-71C835C7DA54}"/>
    <hyperlink ref="G20" r:id="rId3" xr:uid="{316B1AEA-6D9B-4E95-B8E4-F2474753C510}"/>
  </hyperlinks>
  <pageMargins left="0.7" right="0.7" top="0.75" bottom="0.75" header="0.3" footer="0.3"/>
  <pageSetup paperSize="9" orientation="portrait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500A2-84F3-4B46-B096-9675362CCFD9}">
  <sheetPr codeName="Sheet9"/>
  <dimension ref="A1:AB119"/>
  <sheetViews>
    <sheetView zoomScaleNormal="100" workbookViewId="0">
      <selection activeCell="C27" sqref="C27"/>
    </sheetView>
  </sheetViews>
  <sheetFormatPr defaultColWidth="0" defaultRowHeight="15" zeroHeight="1" x14ac:dyDescent="0.25"/>
  <cols>
    <col min="1" max="28" width="9.140625" customWidth="1"/>
    <col min="29" max="16384" width="9.140625" hidden="1"/>
  </cols>
  <sheetData>
    <row r="1" spans="1:27" ht="26.25" thickBot="1" x14ac:dyDescent="0.3">
      <c r="A1" s="618" t="s">
        <v>291</v>
      </c>
      <c r="B1" s="619"/>
      <c r="C1" s="619"/>
      <c r="D1" s="619"/>
      <c r="E1" s="619"/>
      <c r="F1" s="619"/>
      <c r="G1" s="619"/>
      <c r="H1" s="619"/>
      <c r="I1" s="619"/>
      <c r="J1" s="619"/>
      <c r="K1" s="619"/>
      <c r="L1" s="619"/>
      <c r="M1" s="619"/>
      <c r="N1" s="619"/>
      <c r="O1" s="619"/>
      <c r="P1" s="619"/>
      <c r="Q1" s="619"/>
      <c r="R1" s="619"/>
      <c r="S1" s="619"/>
      <c r="T1" s="619"/>
      <c r="U1" s="619"/>
      <c r="V1" s="619"/>
      <c r="W1" s="619"/>
      <c r="X1" s="619"/>
      <c r="Y1" s="619"/>
      <c r="Z1" s="619"/>
      <c r="AA1" s="620"/>
    </row>
    <row r="2" spans="1:27" x14ac:dyDescent="0.25">
      <c r="A2" s="47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9"/>
    </row>
    <row r="3" spans="1:27" ht="15.75" thickBot="1" x14ac:dyDescent="0.3">
      <c r="A3" s="50"/>
      <c r="AA3" s="51"/>
    </row>
    <row r="4" spans="1:27" ht="15.75" thickBot="1" x14ac:dyDescent="0.3">
      <c r="A4" s="50"/>
      <c r="M4" s="552" t="s">
        <v>230</v>
      </c>
      <c r="N4" s="554"/>
      <c r="AA4" s="51"/>
    </row>
    <row r="5" spans="1:27" x14ac:dyDescent="0.25">
      <c r="A5" s="50"/>
      <c r="M5" s="192">
        <v>4</v>
      </c>
      <c r="N5" s="195">
        <v>5</v>
      </c>
      <c r="AA5" s="51"/>
    </row>
    <row r="6" spans="1:27" ht="15.75" thickBot="1" x14ac:dyDescent="0.3">
      <c r="A6" s="50"/>
      <c r="M6" s="200">
        <v>0</v>
      </c>
      <c r="N6" s="203">
        <v>7</v>
      </c>
      <c r="AA6" s="51"/>
    </row>
    <row r="7" spans="1:27" x14ac:dyDescent="0.25">
      <c r="A7" s="50"/>
      <c r="AA7" s="51"/>
    </row>
    <row r="8" spans="1:27" ht="15.75" thickBot="1" x14ac:dyDescent="0.3">
      <c r="A8" s="50"/>
      <c r="AA8" s="51"/>
    </row>
    <row r="9" spans="1:27" ht="15.75" thickBot="1" x14ac:dyDescent="0.3">
      <c r="A9" s="50"/>
      <c r="M9" s="552" t="s">
        <v>292</v>
      </c>
      <c r="N9" s="554"/>
      <c r="AA9" s="51"/>
    </row>
    <row r="10" spans="1:27" ht="15.75" thickBot="1" x14ac:dyDescent="0.3">
      <c r="A10" s="50"/>
      <c r="M10" s="621">
        <v>5</v>
      </c>
      <c r="N10" s="622"/>
      <c r="AA10" s="51"/>
    </row>
    <row r="11" spans="1:27" x14ac:dyDescent="0.25">
      <c r="A11" s="50"/>
      <c r="AA11" s="51"/>
    </row>
    <row r="12" spans="1:27" ht="15.75" thickBot="1" x14ac:dyDescent="0.3">
      <c r="A12" s="50"/>
      <c r="AA12" s="51"/>
    </row>
    <row r="13" spans="1:27" ht="15.75" thickBot="1" x14ac:dyDescent="0.3">
      <c r="A13" s="50"/>
      <c r="M13" s="552" t="s">
        <v>231</v>
      </c>
      <c r="N13" s="554"/>
      <c r="AA13" s="51"/>
    </row>
    <row r="14" spans="1:27" x14ac:dyDescent="0.25">
      <c r="A14" s="50"/>
      <c r="M14" s="192">
        <f>D108</f>
        <v>1024</v>
      </c>
      <c r="N14" s="195">
        <f>E108</f>
        <v>26305</v>
      </c>
      <c r="AA14" s="51"/>
    </row>
    <row r="15" spans="1:27" ht="15.75" thickBot="1" x14ac:dyDescent="0.3">
      <c r="A15" s="50"/>
      <c r="M15" s="200">
        <f>D109</f>
        <v>0</v>
      </c>
      <c r="N15" s="203">
        <f>E109</f>
        <v>16807</v>
      </c>
      <c r="AA15" s="51"/>
    </row>
    <row r="16" spans="1:27" x14ac:dyDescent="0.25">
      <c r="A16" s="50"/>
      <c r="AA16" s="51"/>
    </row>
    <row r="17" spans="1:27" ht="21.75" x14ac:dyDescent="0.35">
      <c r="A17" s="623" t="s">
        <v>178</v>
      </c>
      <c r="B17" s="624"/>
      <c r="C17" s="624"/>
      <c r="D17" s="624"/>
      <c r="E17" s="624"/>
      <c r="F17" s="624"/>
      <c r="G17" s="624"/>
      <c r="H17" s="624"/>
      <c r="I17" s="624"/>
      <c r="J17" s="624"/>
      <c r="K17" s="624"/>
      <c r="L17" s="624"/>
      <c r="M17" s="624"/>
      <c r="N17" s="624"/>
      <c r="O17" s="624"/>
      <c r="P17" s="624"/>
      <c r="Q17" s="624"/>
      <c r="R17" s="624"/>
      <c r="S17" s="624"/>
      <c r="T17" s="624"/>
      <c r="U17" s="624"/>
      <c r="V17" s="624"/>
      <c r="W17" s="624"/>
      <c r="X17" s="624"/>
      <c r="Y17" s="624"/>
      <c r="Z17" s="624"/>
      <c r="AA17" s="625"/>
    </row>
    <row r="18" spans="1:27" x14ac:dyDescent="0.25">
      <c r="A18" s="50"/>
      <c r="B18" s="2"/>
      <c r="C18" s="2"/>
      <c r="AA18" s="51"/>
    </row>
    <row r="19" spans="1:27" ht="15.75" thickBot="1" x14ac:dyDescent="0.3">
      <c r="A19" s="50"/>
      <c r="B19" s="2"/>
      <c r="C19" s="2"/>
      <c r="AA19" s="51"/>
    </row>
    <row r="20" spans="1:27" x14ac:dyDescent="0.25">
      <c r="A20" s="50"/>
      <c r="C20" s="412" t="s">
        <v>34</v>
      </c>
      <c r="D20" s="563" t="s">
        <v>32</v>
      </c>
      <c r="E20" s="192">
        <f>M5</f>
        <v>4</v>
      </c>
      <c r="F20" s="195">
        <f>N5</f>
        <v>5</v>
      </c>
      <c r="AA20" s="51"/>
    </row>
    <row r="21" spans="1:27" ht="15.75" thickBot="1" x14ac:dyDescent="0.3">
      <c r="A21" s="50"/>
      <c r="C21" s="412"/>
      <c r="D21" s="563"/>
      <c r="E21" s="200">
        <f>M6</f>
        <v>0</v>
      </c>
      <c r="F21" s="203">
        <f>N6</f>
        <v>7</v>
      </c>
      <c r="AA21" s="51"/>
    </row>
    <row r="22" spans="1:27" ht="15.75" thickBot="1" x14ac:dyDescent="0.3">
      <c r="A22" s="50"/>
      <c r="AA22" s="51"/>
    </row>
    <row r="23" spans="1:27" ht="16.5" thickBot="1" x14ac:dyDescent="0.3">
      <c r="A23" s="50"/>
      <c r="B23" s="452" t="s">
        <v>293</v>
      </c>
      <c r="C23" s="453"/>
      <c r="D23" s="453"/>
      <c r="E23" s="453"/>
      <c r="F23" s="453"/>
      <c r="G23" s="453"/>
      <c r="H23" s="454"/>
      <c r="AA23" s="51"/>
    </row>
    <row r="24" spans="1:27" x14ac:dyDescent="0.25">
      <c r="A24" s="50"/>
      <c r="B24" s="47"/>
      <c r="C24" s="53" t="s">
        <v>34</v>
      </c>
      <c r="D24" s="53" t="s">
        <v>212</v>
      </c>
      <c r="E24" s="53" t="s">
        <v>32</v>
      </c>
      <c r="F24" s="53" t="s">
        <v>35</v>
      </c>
      <c r="G24" s="53"/>
      <c r="H24" s="103"/>
      <c r="AA24" s="51"/>
    </row>
    <row r="25" spans="1:27" x14ac:dyDescent="0.25">
      <c r="A25" s="50"/>
      <c r="B25" s="50"/>
      <c r="C25" s="2" t="s">
        <v>34</v>
      </c>
      <c r="D25" s="2" t="str">
        <f>D24</f>
        <v>v</v>
      </c>
      <c r="E25" s="2" t="s">
        <v>32</v>
      </c>
      <c r="F25" s="236" t="s">
        <v>194</v>
      </c>
      <c r="G25" s="236" t="str">
        <f>D24</f>
        <v>v</v>
      </c>
      <c r="H25" s="99"/>
      <c r="AA25" s="51"/>
    </row>
    <row r="26" spans="1:27" ht="15.75" thickBot="1" x14ac:dyDescent="0.3">
      <c r="A26" s="50"/>
      <c r="B26" s="98" t="s">
        <v>34</v>
      </c>
      <c r="C26" s="2" t="s">
        <v>212</v>
      </c>
      <c r="D26" s="2" t="s">
        <v>43</v>
      </c>
      <c r="E26" s="2" t="str">
        <f>F25</f>
        <v>λ</v>
      </c>
      <c r="F26" s="2" t="str">
        <f>G25</f>
        <v>v</v>
      </c>
      <c r="G26" s="2" t="s">
        <v>32</v>
      </c>
      <c r="H26" s="99">
        <v>0</v>
      </c>
      <c r="AA26" s="51"/>
    </row>
    <row r="27" spans="1:27" ht="15.75" thickBot="1" x14ac:dyDescent="0.3">
      <c r="A27" s="50"/>
      <c r="B27" s="100"/>
      <c r="C27" s="238" t="s">
        <v>196</v>
      </c>
      <c r="D27" s="112" t="s">
        <v>43</v>
      </c>
      <c r="E27" s="121" t="s">
        <v>197</v>
      </c>
      <c r="F27" s="112" t="str">
        <f>D24</f>
        <v>v</v>
      </c>
      <c r="G27" s="112" t="s">
        <v>32</v>
      </c>
      <c r="H27" s="113">
        <v>0</v>
      </c>
      <c r="I27" s="2" t="s">
        <v>228</v>
      </c>
      <c r="J27" s="118" t="s">
        <v>294</v>
      </c>
      <c r="AA27" s="51"/>
    </row>
    <row r="28" spans="1:27" x14ac:dyDescent="0.25">
      <c r="A28" s="50"/>
      <c r="B28" s="2"/>
      <c r="C28" s="208"/>
      <c r="D28" s="2"/>
      <c r="F28" s="2"/>
      <c r="G28" s="2"/>
      <c r="H28" s="2"/>
      <c r="AA28" s="51"/>
    </row>
    <row r="29" spans="1:27" ht="16.5" thickBot="1" x14ac:dyDescent="0.3">
      <c r="A29" s="50"/>
      <c r="B29" s="2"/>
      <c r="C29" s="241" t="s">
        <v>298</v>
      </c>
      <c r="AA29" s="51"/>
    </row>
    <row r="30" spans="1:27" ht="15.75" thickBot="1" x14ac:dyDescent="0.3">
      <c r="A30" s="50"/>
      <c r="C30" s="626" t="s">
        <v>295</v>
      </c>
      <c r="D30" s="627"/>
      <c r="E30" s="239" t="s">
        <v>43</v>
      </c>
      <c r="F30" s="239" t="s">
        <v>194</v>
      </c>
      <c r="G30" s="627" t="s">
        <v>296</v>
      </c>
      <c r="H30" s="627"/>
      <c r="I30" s="239" t="s">
        <v>32</v>
      </c>
      <c r="J30" s="240">
        <v>0</v>
      </c>
      <c r="AA30" s="51"/>
    </row>
    <row r="31" spans="1:27" ht="15.75" thickBot="1" x14ac:dyDescent="0.3">
      <c r="A31" s="50"/>
      <c r="AA31" s="51"/>
    </row>
    <row r="32" spans="1:27" ht="16.5" thickBot="1" x14ac:dyDescent="0.3">
      <c r="A32" s="50"/>
      <c r="B32" s="452" t="s">
        <v>297</v>
      </c>
      <c r="C32" s="453"/>
      <c r="D32" s="453"/>
      <c r="E32" s="453"/>
      <c r="F32" s="453"/>
      <c r="G32" s="453"/>
      <c r="H32" s="453"/>
      <c r="I32" s="453"/>
      <c r="J32" s="453"/>
      <c r="K32" s="453"/>
      <c r="L32" s="453"/>
      <c r="M32" s="453"/>
      <c r="N32" s="453"/>
      <c r="O32" s="453"/>
      <c r="P32" s="453"/>
      <c r="Q32" s="453"/>
      <c r="R32" s="454"/>
      <c r="AA32" s="51"/>
    </row>
    <row r="33" spans="1:27" x14ac:dyDescent="0.25">
      <c r="A33" s="50"/>
      <c r="B33" s="50"/>
      <c r="R33" s="51"/>
      <c r="AA33" s="51"/>
    </row>
    <row r="34" spans="1:27" x14ac:dyDescent="0.25">
      <c r="A34" s="50"/>
      <c r="B34" s="50"/>
      <c r="C34" s="98">
        <f>E20</f>
        <v>4</v>
      </c>
      <c r="D34" s="2">
        <f>F20</f>
        <v>5</v>
      </c>
      <c r="E34" s="412" t="s">
        <v>43</v>
      </c>
      <c r="F34" s="634" t="str">
        <f>E26</f>
        <v>λ</v>
      </c>
      <c r="G34" s="2">
        <v>1</v>
      </c>
      <c r="H34" s="99">
        <v>0</v>
      </c>
      <c r="I34" s="412" t="s">
        <v>32</v>
      </c>
      <c r="J34" s="412">
        <v>0</v>
      </c>
      <c r="R34" s="51"/>
      <c r="AA34" s="51"/>
    </row>
    <row r="35" spans="1:27" x14ac:dyDescent="0.25">
      <c r="A35" s="50"/>
      <c r="B35" s="50"/>
      <c r="C35" s="98">
        <f>E21</f>
        <v>0</v>
      </c>
      <c r="D35" s="2">
        <f>F21</f>
        <v>7</v>
      </c>
      <c r="E35" s="412"/>
      <c r="F35" s="634"/>
      <c r="G35" s="2">
        <v>0</v>
      </c>
      <c r="H35" s="99">
        <v>1</v>
      </c>
      <c r="I35" s="412"/>
      <c r="J35" s="412"/>
      <c r="R35" s="51"/>
      <c r="AA35" s="51"/>
    </row>
    <row r="36" spans="1:27" x14ac:dyDescent="0.25">
      <c r="A36" s="50"/>
      <c r="B36" s="50"/>
      <c r="R36" s="51"/>
      <c r="AA36" s="51"/>
    </row>
    <row r="37" spans="1:27" x14ac:dyDescent="0.25">
      <c r="A37" s="50"/>
      <c r="B37" s="50"/>
      <c r="C37" s="98">
        <f>C34</f>
        <v>4</v>
      </c>
      <c r="D37" s="2">
        <f t="shared" ref="D37:D38" si="0">D34</f>
        <v>5</v>
      </c>
      <c r="E37" s="412" t="s">
        <v>43</v>
      </c>
      <c r="F37" s="2" t="str">
        <f>F34</f>
        <v>λ</v>
      </c>
      <c r="G37" s="99">
        <f>H34</f>
        <v>0</v>
      </c>
      <c r="H37" s="412" t="s">
        <v>32</v>
      </c>
      <c r="I37" s="412">
        <v>0</v>
      </c>
      <c r="R37" s="51"/>
      <c r="AA37" s="51"/>
    </row>
    <row r="38" spans="1:27" x14ac:dyDescent="0.25">
      <c r="A38" s="50"/>
      <c r="B38" s="50"/>
      <c r="C38" s="98">
        <f>C35</f>
        <v>0</v>
      </c>
      <c r="D38" s="2">
        <f t="shared" si="0"/>
        <v>7</v>
      </c>
      <c r="E38" s="412"/>
      <c r="F38" s="2">
        <f>G35</f>
        <v>0</v>
      </c>
      <c r="G38" s="99" t="str">
        <f>F34</f>
        <v>λ</v>
      </c>
      <c r="H38" s="412"/>
      <c r="I38" s="412"/>
      <c r="R38" s="51"/>
      <c r="AA38" s="51"/>
    </row>
    <row r="39" spans="1:27" x14ac:dyDescent="0.25">
      <c r="A39" s="50"/>
      <c r="B39" s="50"/>
      <c r="R39" s="51"/>
      <c r="AA39" s="51"/>
    </row>
    <row r="40" spans="1:27" x14ac:dyDescent="0.25">
      <c r="A40" s="50"/>
      <c r="B40" s="50"/>
      <c r="C40" s="98" t="str">
        <f>C37 &amp; "-λ"</f>
        <v>4-λ</v>
      </c>
      <c r="D40" s="99">
        <f>D37</f>
        <v>5</v>
      </c>
      <c r="E40" s="412" t="s">
        <v>32</v>
      </c>
      <c r="F40" s="412">
        <v>0</v>
      </c>
      <c r="R40" s="51"/>
      <c r="AA40" s="51"/>
    </row>
    <row r="41" spans="1:27" x14ac:dyDescent="0.25">
      <c r="A41" s="50"/>
      <c r="B41" s="50"/>
      <c r="C41" s="98">
        <f>C38</f>
        <v>0</v>
      </c>
      <c r="D41" s="99" t="str">
        <f>D38&amp;"-λ"</f>
        <v>7-λ</v>
      </c>
      <c r="E41" s="412"/>
      <c r="F41" s="412"/>
      <c r="R41" s="51"/>
      <c r="AA41" s="51"/>
    </row>
    <row r="42" spans="1:27" x14ac:dyDescent="0.25">
      <c r="A42" s="50"/>
      <c r="B42" s="50"/>
      <c r="R42" s="51"/>
      <c r="AA42" s="51"/>
    </row>
    <row r="43" spans="1:27" x14ac:dyDescent="0.25">
      <c r="A43" s="50"/>
      <c r="B43" s="50"/>
      <c r="R43" s="51"/>
      <c r="AA43" s="51"/>
    </row>
    <row r="44" spans="1:27" x14ac:dyDescent="0.25">
      <c r="A44" s="211"/>
      <c r="B44" s="211" t="s">
        <v>195</v>
      </c>
      <c r="C44" s="2" t="str">
        <f>C40</f>
        <v>4-λ</v>
      </c>
      <c r="D44" s="115" t="s">
        <v>198</v>
      </c>
      <c r="E44" s="2" t="str">
        <f>D41</f>
        <v>7-λ</v>
      </c>
      <c r="F44" s="2" t="s">
        <v>199</v>
      </c>
      <c r="G44" s="2">
        <f>D40</f>
        <v>5</v>
      </c>
      <c r="H44" s="2" t="s">
        <v>36</v>
      </c>
      <c r="I44" s="2">
        <f>C41</f>
        <v>0</v>
      </c>
      <c r="J44" s="115" t="s">
        <v>200</v>
      </c>
      <c r="K44" s="2">
        <v>0</v>
      </c>
      <c r="L44" s="2"/>
      <c r="R44" s="51"/>
      <c r="AA44" s="51"/>
    </row>
    <row r="45" spans="1:27" x14ac:dyDescent="0.25">
      <c r="A45" s="50"/>
      <c r="B45" s="50"/>
      <c r="R45" s="51"/>
      <c r="AA45" s="51"/>
    </row>
    <row r="46" spans="1:27" x14ac:dyDescent="0.25">
      <c r="A46" s="50"/>
      <c r="B46" s="50"/>
      <c r="C46" s="2" t="s">
        <v>202</v>
      </c>
      <c r="D46" s="2" t="s">
        <v>41</v>
      </c>
      <c r="E46" s="2">
        <f>(-C37+-D38)</f>
        <v>-11</v>
      </c>
      <c r="F46" t="s">
        <v>203</v>
      </c>
      <c r="G46" s="2">
        <f>(C37*D38)+(D37*C38)</f>
        <v>28</v>
      </c>
      <c r="H46" s="2" t="s">
        <v>32</v>
      </c>
      <c r="I46" s="2">
        <v>0</v>
      </c>
      <c r="R46" s="51"/>
      <c r="AA46" s="51"/>
    </row>
    <row r="47" spans="1:27" x14ac:dyDescent="0.25">
      <c r="A47" s="50"/>
      <c r="B47" s="50"/>
      <c r="R47" s="51"/>
      <c r="AA47" s="51"/>
    </row>
    <row r="48" spans="1:27" ht="15.75" thickBot="1" x14ac:dyDescent="0.3">
      <c r="A48" s="50"/>
      <c r="B48" s="50"/>
      <c r="R48" s="51"/>
      <c r="AA48" s="51"/>
    </row>
    <row r="49" spans="1:27" ht="15.75" thickBot="1" x14ac:dyDescent="0.3">
      <c r="A49" s="50"/>
      <c r="B49" s="50"/>
      <c r="C49" s="14" t="s">
        <v>204</v>
      </c>
      <c r="D49" s="15" t="s">
        <v>32</v>
      </c>
      <c r="E49" s="16">
        <f>(-E46+(((E46*E46)-(4*G46))^0.5) )/2</f>
        <v>7</v>
      </c>
      <c r="F49" s="119" t="s">
        <v>125</v>
      </c>
      <c r="G49" s="118" t="s">
        <v>205</v>
      </c>
      <c r="J49" s="119" t="s">
        <v>103</v>
      </c>
      <c r="K49" s="614" t="s">
        <v>310</v>
      </c>
      <c r="L49" s="614"/>
      <c r="M49" s="614"/>
      <c r="N49" s="614"/>
      <c r="O49" s="614"/>
      <c r="P49" s="614"/>
      <c r="Q49" s="614"/>
      <c r="R49" s="615"/>
      <c r="AA49" s="51"/>
    </row>
    <row r="50" spans="1:27" ht="15.75" thickBot="1" x14ac:dyDescent="0.3">
      <c r="A50" s="50"/>
      <c r="B50" s="52"/>
      <c r="C50" s="69" t="s">
        <v>201</v>
      </c>
      <c r="D50" s="130" t="s">
        <v>32</v>
      </c>
      <c r="E50" s="70">
        <f>(-E46-(((E46*E46)-(4*G46))^0.5) )/2</f>
        <v>4</v>
      </c>
      <c r="F50" s="251" t="s">
        <v>125</v>
      </c>
      <c r="G50" s="252" t="s">
        <v>206</v>
      </c>
      <c r="H50" s="39"/>
      <c r="I50" s="39"/>
      <c r="J50" s="39"/>
      <c r="K50" s="39"/>
      <c r="L50" s="39"/>
      <c r="M50" s="39"/>
      <c r="N50" s="39"/>
      <c r="O50" s="39"/>
      <c r="P50" s="39"/>
      <c r="Q50" s="253"/>
      <c r="R50" s="40"/>
      <c r="AA50" s="51"/>
    </row>
    <row r="51" spans="1:27" ht="15.75" thickBot="1" x14ac:dyDescent="0.3">
      <c r="A51" s="50"/>
      <c r="AA51" s="51"/>
    </row>
    <row r="52" spans="1:27" ht="16.5" thickBot="1" x14ac:dyDescent="0.3">
      <c r="A52" s="50"/>
      <c r="B52" s="452" t="s">
        <v>299</v>
      </c>
      <c r="C52" s="453"/>
      <c r="D52" s="453"/>
      <c r="E52" s="453"/>
      <c r="F52" s="453"/>
      <c r="G52" s="453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453"/>
      <c r="U52" s="453"/>
      <c r="V52" s="453"/>
      <c r="W52" s="454"/>
      <c r="AA52" s="51"/>
    </row>
    <row r="53" spans="1:27" ht="15.75" thickBot="1" x14ac:dyDescent="0.3">
      <c r="A53" s="50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9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9"/>
      <c r="AA53" s="51"/>
    </row>
    <row r="54" spans="1:27" ht="15.75" customHeight="1" thickBot="1" x14ac:dyDescent="0.3">
      <c r="A54" s="50"/>
      <c r="B54" s="50"/>
      <c r="C54" s="613" t="s">
        <v>207</v>
      </c>
      <c r="D54" s="613"/>
      <c r="E54" s="2" t="s">
        <v>103</v>
      </c>
      <c r="F54" s="610" t="s">
        <v>208</v>
      </c>
      <c r="G54" s="611"/>
      <c r="H54" s="611"/>
      <c r="I54" s="611"/>
      <c r="J54" s="611"/>
      <c r="K54" s="611"/>
      <c r="L54" s="612"/>
      <c r="N54" s="610" t="s">
        <v>209</v>
      </c>
      <c r="O54" s="633"/>
      <c r="P54" s="2" t="s">
        <v>103</v>
      </c>
      <c r="Q54" s="610" t="s">
        <v>210</v>
      </c>
      <c r="R54" s="611"/>
      <c r="S54" s="611"/>
      <c r="T54" s="611"/>
      <c r="U54" s="611"/>
      <c r="V54" s="611"/>
      <c r="W54" s="612"/>
      <c r="AA54" s="51"/>
    </row>
    <row r="55" spans="1:27" ht="15.75" thickBot="1" x14ac:dyDescent="0.3">
      <c r="A55" s="50"/>
      <c r="B55" s="50"/>
      <c r="L55" s="51"/>
      <c r="W55" s="51"/>
      <c r="AA55" s="51"/>
    </row>
    <row r="56" spans="1:27" x14ac:dyDescent="0.25">
      <c r="A56" s="50"/>
      <c r="B56" s="124">
        <f>E20</f>
        <v>4</v>
      </c>
      <c r="C56" s="53">
        <f>F20</f>
        <v>5</v>
      </c>
      <c r="D56" s="602" t="s">
        <v>43</v>
      </c>
      <c r="E56" s="602">
        <f>E49</f>
        <v>7</v>
      </c>
      <c r="F56" s="53">
        <f>G34</f>
        <v>1</v>
      </c>
      <c r="G56" s="53">
        <f>H34</f>
        <v>0</v>
      </c>
      <c r="H56" s="602" t="s">
        <v>211</v>
      </c>
      <c r="I56" s="602" t="s">
        <v>32</v>
      </c>
      <c r="J56" s="616">
        <v>0</v>
      </c>
      <c r="L56" s="51"/>
      <c r="N56" s="124">
        <f>B56</f>
        <v>4</v>
      </c>
      <c r="O56" s="53">
        <f>C56</f>
        <v>5</v>
      </c>
      <c r="P56" s="602" t="s">
        <v>43</v>
      </c>
      <c r="Q56" s="602">
        <f>E50</f>
        <v>4</v>
      </c>
      <c r="R56" s="53">
        <f>F56</f>
        <v>1</v>
      </c>
      <c r="S56" s="53">
        <f>T34</f>
        <v>0</v>
      </c>
      <c r="T56" s="53" t="s">
        <v>211</v>
      </c>
      <c r="U56" s="602" t="s">
        <v>32</v>
      </c>
      <c r="V56" s="616">
        <v>0</v>
      </c>
      <c r="W56" s="51"/>
      <c r="AA56" s="51"/>
    </row>
    <row r="57" spans="1:27" ht="15.75" thickBot="1" x14ac:dyDescent="0.3">
      <c r="A57" s="50"/>
      <c r="B57" s="100">
        <f>E21</f>
        <v>0</v>
      </c>
      <c r="C57" s="101">
        <f>F21</f>
        <v>7</v>
      </c>
      <c r="D57" s="603"/>
      <c r="E57" s="603"/>
      <c r="F57" s="101">
        <f>G35</f>
        <v>0</v>
      </c>
      <c r="G57" s="101">
        <f>H35</f>
        <v>1</v>
      </c>
      <c r="H57" s="603"/>
      <c r="I57" s="603"/>
      <c r="J57" s="617"/>
      <c r="L57" s="51"/>
      <c r="N57" s="100">
        <f>B57</f>
        <v>0</v>
      </c>
      <c r="O57" s="101">
        <f>C57</f>
        <v>7</v>
      </c>
      <c r="P57" s="603"/>
      <c r="Q57" s="603"/>
      <c r="R57" s="101">
        <f>S35</f>
        <v>0</v>
      </c>
      <c r="S57" s="101">
        <f>G57</f>
        <v>1</v>
      </c>
      <c r="T57" s="101"/>
      <c r="U57" s="603"/>
      <c r="V57" s="617"/>
      <c r="W57" s="51"/>
      <c r="AA57" s="51"/>
    </row>
    <row r="58" spans="1:27" ht="15.75" thickBot="1" x14ac:dyDescent="0.3">
      <c r="A58" s="50"/>
      <c r="B58" s="50"/>
      <c r="L58" s="51"/>
      <c r="N58" s="2"/>
      <c r="O58" s="2"/>
      <c r="P58" s="2"/>
      <c r="Q58" s="2"/>
      <c r="R58" s="2"/>
      <c r="S58" s="2"/>
      <c r="T58" s="2"/>
      <c r="U58" s="172"/>
      <c r="V58" s="172"/>
      <c r="W58" s="51"/>
      <c r="AA58" s="51"/>
    </row>
    <row r="59" spans="1:27" x14ac:dyDescent="0.25">
      <c r="A59" s="50"/>
      <c r="B59" s="124">
        <f>B56</f>
        <v>4</v>
      </c>
      <c r="C59" s="53">
        <f>C56</f>
        <v>5</v>
      </c>
      <c r="D59" s="602" t="s">
        <v>43</v>
      </c>
      <c r="E59" s="53">
        <f>E56*F56</f>
        <v>7</v>
      </c>
      <c r="F59" s="53">
        <f>G56</f>
        <v>0</v>
      </c>
      <c r="G59" s="602" t="s">
        <v>211</v>
      </c>
      <c r="H59" s="602" t="s">
        <v>32</v>
      </c>
      <c r="I59" s="616">
        <v>0</v>
      </c>
      <c r="L59" s="51"/>
      <c r="N59" s="124">
        <f>N56</f>
        <v>4</v>
      </c>
      <c r="O59" s="53">
        <f>O56</f>
        <v>5</v>
      </c>
      <c r="P59" s="602" t="s">
        <v>43</v>
      </c>
      <c r="Q59" s="53">
        <f>Q56*R56</f>
        <v>4</v>
      </c>
      <c r="R59" s="53">
        <f>S56</f>
        <v>0</v>
      </c>
      <c r="S59" s="53" t="s">
        <v>211</v>
      </c>
      <c r="T59" s="602" t="s">
        <v>32</v>
      </c>
      <c r="U59" s="616">
        <v>0</v>
      </c>
      <c r="V59" s="2"/>
      <c r="W59" s="51"/>
      <c r="AA59" s="51"/>
    </row>
    <row r="60" spans="1:27" ht="15.75" thickBot="1" x14ac:dyDescent="0.3">
      <c r="A60" s="50"/>
      <c r="B60" s="100">
        <f>B57</f>
        <v>0</v>
      </c>
      <c r="C60" s="101">
        <f>C57</f>
        <v>7</v>
      </c>
      <c r="D60" s="603"/>
      <c r="E60" s="101">
        <f>-G56</f>
        <v>0</v>
      </c>
      <c r="F60" s="101">
        <f>G57*E56</f>
        <v>7</v>
      </c>
      <c r="G60" s="603"/>
      <c r="H60" s="603"/>
      <c r="I60" s="617"/>
      <c r="L60" s="51"/>
      <c r="N60" s="100">
        <f>N57</f>
        <v>0</v>
      </c>
      <c r="O60" s="101">
        <f>O57</f>
        <v>7</v>
      </c>
      <c r="P60" s="603"/>
      <c r="Q60" s="101">
        <f>-S56</f>
        <v>0</v>
      </c>
      <c r="R60" s="101">
        <f>S57*Q56</f>
        <v>4</v>
      </c>
      <c r="S60" s="101"/>
      <c r="T60" s="603"/>
      <c r="U60" s="617"/>
      <c r="V60" s="2"/>
      <c r="W60" s="51"/>
      <c r="AA60" s="51"/>
    </row>
    <row r="61" spans="1:27" ht="15.75" thickBot="1" x14ac:dyDescent="0.3">
      <c r="A61" s="50"/>
      <c r="B61" s="50"/>
      <c r="L61" s="51"/>
      <c r="N61" s="2"/>
      <c r="O61" s="2"/>
      <c r="P61" s="2"/>
      <c r="Q61" s="2"/>
      <c r="R61" s="2"/>
      <c r="S61" s="2"/>
      <c r="T61" s="2"/>
      <c r="U61" s="2"/>
      <c r="V61" s="2"/>
      <c r="W61" s="51"/>
      <c r="AA61" s="51"/>
    </row>
    <row r="62" spans="1:27" x14ac:dyDescent="0.25">
      <c r="A62" s="50"/>
      <c r="B62" s="124">
        <f>B59-E59</f>
        <v>-3</v>
      </c>
      <c r="C62" s="53">
        <f>C59-F59</f>
        <v>5</v>
      </c>
      <c r="D62" s="602" t="s">
        <v>36</v>
      </c>
      <c r="E62" s="53" t="s">
        <v>30</v>
      </c>
      <c r="F62" s="602" t="s">
        <v>32</v>
      </c>
      <c r="G62" s="616">
        <v>0</v>
      </c>
      <c r="H62" s="401" t="s">
        <v>303</v>
      </c>
      <c r="I62" s="124" t="s">
        <v>302</v>
      </c>
      <c r="J62" s="103" t="s">
        <v>30</v>
      </c>
      <c r="L62" s="51"/>
      <c r="N62" s="124">
        <f>N59-Q59</f>
        <v>0</v>
      </c>
      <c r="O62" s="53">
        <f>O59-R59</f>
        <v>5</v>
      </c>
      <c r="P62" s="602" t="s">
        <v>36</v>
      </c>
      <c r="Q62" s="53" t="s">
        <v>30</v>
      </c>
      <c r="R62" s="602" t="s">
        <v>32</v>
      </c>
      <c r="S62" s="616">
        <v>0</v>
      </c>
      <c r="T62" s="401" t="s">
        <v>303</v>
      </c>
      <c r="U62" s="124" t="s">
        <v>302</v>
      </c>
      <c r="V62" s="103" t="s">
        <v>30</v>
      </c>
      <c r="W62" s="51"/>
      <c r="AA62" s="51"/>
    </row>
    <row r="63" spans="1:27" ht="15.75" thickBot="1" x14ac:dyDescent="0.3">
      <c r="A63" s="50"/>
      <c r="B63" s="100">
        <f>B60-E60</f>
        <v>0</v>
      </c>
      <c r="C63" s="101">
        <f>C60-F60</f>
        <v>0</v>
      </c>
      <c r="D63" s="603"/>
      <c r="E63" s="101" t="s">
        <v>31</v>
      </c>
      <c r="F63" s="603"/>
      <c r="G63" s="617"/>
      <c r="H63" s="401"/>
      <c r="I63" s="100"/>
      <c r="J63" s="102" t="s">
        <v>31</v>
      </c>
      <c r="L63" s="51"/>
      <c r="N63" s="100">
        <f>N60-Q60</f>
        <v>0</v>
      </c>
      <c r="O63" s="101">
        <f>O60-R60</f>
        <v>3</v>
      </c>
      <c r="P63" s="603"/>
      <c r="Q63" s="101" t="s">
        <v>31</v>
      </c>
      <c r="R63" s="603"/>
      <c r="S63" s="617"/>
      <c r="T63" s="401"/>
      <c r="U63" s="100"/>
      <c r="V63" s="102" t="s">
        <v>31</v>
      </c>
      <c r="W63" s="51"/>
      <c r="AA63" s="51"/>
    </row>
    <row r="64" spans="1:27" x14ac:dyDescent="0.25">
      <c r="A64" s="50"/>
      <c r="B64" s="50"/>
      <c r="L64" s="51"/>
      <c r="N64" s="2"/>
      <c r="O64" s="2"/>
      <c r="P64" s="2"/>
      <c r="Q64" s="2"/>
      <c r="R64" s="2"/>
      <c r="S64" s="2"/>
      <c r="T64" s="2"/>
      <c r="U64" s="2"/>
      <c r="V64" s="2"/>
      <c r="W64" s="51"/>
      <c r="AA64" s="51"/>
    </row>
    <row r="65" spans="1:27" ht="15.75" thickBot="1" x14ac:dyDescent="0.3">
      <c r="A65" s="50"/>
      <c r="B65" s="50"/>
      <c r="L65" s="51"/>
      <c r="N65" s="2"/>
      <c r="O65" s="2"/>
      <c r="P65" s="2"/>
      <c r="Q65" s="2"/>
      <c r="R65" s="2"/>
      <c r="S65" s="2"/>
      <c r="T65" s="2"/>
      <c r="U65" s="2"/>
      <c r="V65" s="2"/>
      <c r="W65" s="51"/>
      <c r="AA65" s="51"/>
    </row>
    <row r="66" spans="1:27" x14ac:dyDescent="0.25">
      <c r="A66" s="50"/>
      <c r="B66" s="124">
        <f>B62</f>
        <v>-3</v>
      </c>
      <c r="C66" s="53" t="str">
        <f>E62</f>
        <v>x</v>
      </c>
      <c r="D66" s="53" t="s">
        <v>41</v>
      </c>
      <c r="E66" s="53">
        <f>C62</f>
        <v>5</v>
      </c>
      <c r="F66" s="53" t="str">
        <f>E63</f>
        <v>y</v>
      </c>
      <c r="G66" s="53" t="s">
        <v>32</v>
      </c>
      <c r="H66" s="103">
        <f>G62</f>
        <v>0</v>
      </c>
      <c r="L66" s="51"/>
      <c r="N66" s="124">
        <f>N62</f>
        <v>0</v>
      </c>
      <c r="O66" s="53" t="str">
        <f>Q62</f>
        <v>x</v>
      </c>
      <c r="P66" s="53" t="s">
        <v>41</v>
      </c>
      <c r="Q66" s="53">
        <f>O62</f>
        <v>5</v>
      </c>
      <c r="R66" s="53" t="str">
        <f>Q63</f>
        <v>y</v>
      </c>
      <c r="S66" s="53" t="s">
        <v>32</v>
      </c>
      <c r="T66" s="103">
        <f>S62</f>
        <v>0</v>
      </c>
      <c r="U66" s="2"/>
      <c r="V66" s="2"/>
      <c r="W66" s="51"/>
      <c r="AA66" s="51"/>
    </row>
    <row r="67" spans="1:27" ht="15.75" thickBot="1" x14ac:dyDescent="0.3">
      <c r="A67" s="50"/>
      <c r="B67" s="100">
        <f>B63</f>
        <v>0</v>
      </c>
      <c r="C67" s="101" t="str">
        <f>E62</f>
        <v>x</v>
      </c>
      <c r="D67" s="101" t="s">
        <v>41</v>
      </c>
      <c r="E67" s="101">
        <f>C63</f>
        <v>0</v>
      </c>
      <c r="F67" s="101" t="str">
        <f>E63</f>
        <v>y</v>
      </c>
      <c r="G67" s="101" t="s">
        <v>32</v>
      </c>
      <c r="H67" s="102">
        <f>G62</f>
        <v>0</v>
      </c>
      <c r="L67" s="51"/>
      <c r="N67" s="100">
        <f>N63</f>
        <v>0</v>
      </c>
      <c r="O67" s="101" t="str">
        <f>Q62</f>
        <v>x</v>
      </c>
      <c r="P67" s="101" t="s">
        <v>41</v>
      </c>
      <c r="Q67" s="101">
        <f>O63</f>
        <v>3</v>
      </c>
      <c r="R67" s="101" t="str">
        <f>Q63</f>
        <v>y</v>
      </c>
      <c r="S67" s="101" t="s">
        <v>32</v>
      </c>
      <c r="T67" s="102">
        <f>S62</f>
        <v>0</v>
      </c>
      <c r="U67" s="2"/>
      <c r="V67" s="2"/>
      <c r="W67" s="51"/>
      <c r="AA67" s="51"/>
    </row>
    <row r="68" spans="1:27" x14ac:dyDescent="0.25">
      <c r="A68" s="50"/>
      <c r="B68" s="50"/>
      <c r="L68" s="51"/>
      <c r="W68" s="51"/>
      <c r="AA68" s="51"/>
    </row>
    <row r="69" spans="1:27" ht="15.75" thickBot="1" x14ac:dyDescent="0.3">
      <c r="A69" s="50"/>
      <c r="B69" s="50"/>
      <c r="L69" s="51"/>
      <c r="W69" s="51"/>
      <c r="AA69" s="51"/>
    </row>
    <row r="70" spans="1:27" x14ac:dyDescent="0.25">
      <c r="A70" s="50"/>
      <c r="B70" s="124">
        <f>B66</f>
        <v>-3</v>
      </c>
      <c r="C70" s="53">
        <f>E66</f>
        <v>5</v>
      </c>
      <c r="D70" s="134" t="s">
        <v>39</v>
      </c>
      <c r="E70" s="103">
        <f>D68</f>
        <v>0</v>
      </c>
      <c r="F70" s="2"/>
      <c r="G70" s="2"/>
      <c r="H70" s="2"/>
      <c r="L70" s="51"/>
      <c r="N70" s="124">
        <f>N66</f>
        <v>0</v>
      </c>
      <c r="O70" s="53">
        <f>Q66</f>
        <v>5</v>
      </c>
      <c r="P70" s="53" t="s">
        <v>39</v>
      </c>
      <c r="Q70" s="103">
        <f>P68</f>
        <v>0</v>
      </c>
      <c r="W70" s="51"/>
      <c r="AA70" s="51"/>
    </row>
    <row r="71" spans="1:27" ht="15.75" thickBot="1" x14ac:dyDescent="0.3">
      <c r="A71" s="50"/>
      <c r="B71" s="100">
        <f>B67</f>
        <v>0</v>
      </c>
      <c r="C71" s="101">
        <f>E67</f>
        <v>0</v>
      </c>
      <c r="D71" s="190" t="s">
        <v>39</v>
      </c>
      <c r="E71" s="102">
        <f>D68</f>
        <v>0</v>
      </c>
      <c r="F71" s="2"/>
      <c r="G71" s="2"/>
      <c r="H71" s="2"/>
      <c r="L71" s="51"/>
      <c r="N71" s="100">
        <f>N67</f>
        <v>0</v>
      </c>
      <c r="O71" s="101">
        <f>Q67</f>
        <v>3</v>
      </c>
      <c r="P71" s="190" t="s">
        <v>39</v>
      </c>
      <c r="Q71" s="102">
        <f>P68</f>
        <v>0</v>
      </c>
      <c r="W71" s="51"/>
      <c r="AA71" s="51"/>
    </row>
    <row r="72" spans="1:27" ht="15.75" thickBot="1" x14ac:dyDescent="0.3">
      <c r="A72" s="50"/>
      <c r="B72" s="98"/>
      <c r="C72" s="2"/>
      <c r="D72" s="237"/>
      <c r="E72" s="2"/>
      <c r="F72" s="2"/>
      <c r="G72" s="2"/>
      <c r="H72" s="2"/>
      <c r="L72" s="51"/>
      <c r="N72" s="2"/>
      <c r="O72" s="2"/>
      <c r="P72" s="187"/>
      <c r="Q72" s="2"/>
      <c r="W72" s="51"/>
      <c r="AA72" s="51"/>
    </row>
    <row r="73" spans="1:27" x14ac:dyDescent="0.25">
      <c r="A73" s="50"/>
      <c r="B73" s="124">
        <f>IF($B70= 0,IF($B71=0,B70,B71),B70)</f>
        <v>-3</v>
      </c>
      <c r="C73" s="53">
        <f t="shared" ref="C73" si="1">IF($B70= 0,IF($B71=0,C70,C71),C70)</f>
        <v>5</v>
      </c>
      <c r="D73" s="189" t="s">
        <v>39</v>
      </c>
      <c r="E73" s="103">
        <f>D69</f>
        <v>0</v>
      </c>
      <c r="F73" s="2"/>
      <c r="G73" s="2"/>
      <c r="H73" s="2"/>
      <c r="L73" s="51"/>
      <c r="N73" s="124">
        <f>IF($N70= 0,IF($N71=0,N70,N71),N70)</f>
        <v>0</v>
      </c>
      <c r="O73" s="53">
        <f t="shared" ref="O73" si="2">IF($N70= 0,IF($N71=0,O70,O71),O70)</f>
        <v>5</v>
      </c>
      <c r="P73" s="189" t="s">
        <v>39</v>
      </c>
      <c r="Q73" s="103">
        <f>P69</f>
        <v>0</v>
      </c>
      <c r="W73" s="51"/>
      <c r="AA73" s="51"/>
    </row>
    <row r="74" spans="1:27" ht="15.75" thickBot="1" x14ac:dyDescent="0.3">
      <c r="A74" s="50"/>
      <c r="B74" s="100">
        <f>IF($B70= 0,IF($B71=0,B71,B70),B71)</f>
        <v>0</v>
      </c>
      <c r="C74" s="101">
        <f t="shared" ref="C74" si="3">IF($B70= 0,IF($B71=0,C71,C70),C71)</f>
        <v>0</v>
      </c>
      <c r="D74" s="136" t="s">
        <v>39</v>
      </c>
      <c r="E74" s="102">
        <f>D69</f>
        <v>0</v>
      </c>
      <c r="F74" s="2"/>
      <c r="G74" s="2"/>
      <c r="H74" s="2"/>
      <c r="L74" s="51"/>
      <c r="N74" s="100">
        <f>IF($N70= 0,IF($N71=0,N71,N70),N71)</f>
        <v>0</v>
      </c>
      <c r="O74" s="101">
        <f t="shared" ref="O74" si="4">IF($N70= 0,IF($N71=0,O71,O70),O71)</f>
        <v>3</v>
      </c>
      <c r="P74" s="190" t="s">
        <v>39</v>
      </c>
      <c r="Q74" s="102">
        <f>P69</f>
        <v>0</v>
      </c>
      <c r="W74" s="51"/>
      <c r="AA74" s="51"/>
    </row>
    <row r="75" spans="1:27" ht="15.75" thickBot="1" x14ac:dyDescent="0.3">
      <c r="A75" s="50"/>
      <c r="B75" s="98"/>
      <c r="C75" s="2"/>
      <c r="D75" s="135"/>
      <c r="E75" s="2"/>
      <c r="F75" s="2"/>
      <c r="G75" s="2"/>
      <c r="H75" s="2"/>
      <c r="L75" s="51"/>
      <c r="N75" s="2"/>
      <c r="O75" s="2"/>
      <c r="P75" s="187"/>
      <c r="Q75" s="2"/>
      <c r="W75" s="51"/>
      <c r="AA75" s="51"/>
    </row>
    <row r="76" spans="1:27" x14ac:dyDescent="0.25">
      <c r="A76" s="50"/>
      <c r="B76" s="124">
        <f>IF($B73=0,IF($C73=0,B73,B73/$C73),B73/$B73)</f>
        <v>1</v>
      </c>
      <c r="C76" s="53">
        <f t="shared" ref="C76" si="5">IF($B73=0,IF($C73=0,C73,C73/$C73),C73/$B73)</f>
        <v>-1.6666666666666667</v>
      </c>
      <c r="D76" s="134" t="s">
        <v>39</v>
      </c>
      <c r="E76" s="103">
        <f>D72</f>
        <v>0</v>
      </c>
      <c r="F76" s="2"/>
      <c r="G76" s="124">
        <f>IF(OR(AND($B76=0,$B77=0), AND(C76=0,C77=0)),0,B76)</f>
        <v>1</v>
      </c>
      <c r="H76" s="53">
        <f>IF(OR(AND($B76=0,$B77=0), AND(C76=0,C77=0)),1,C76)</f>
        <v>-1.6666666666666667</v>
      </c>
      <c r="I76" s="189" t="s">
        <v>39</v>
      </c>
      <c r="J76" s="103">
        <f>I72</f>
        <v>0</v>
      </c>
      <c r="L76" s="51"/>
      <c r="N76" s="124">
        <f>IF($N73=0,IF($O73=0,N73,N73/$O73),N73/$N73)</f>
        <v>0</v>
      </c>
      <c r="O76" s="53">
        <f t="shared" ref="O76" si="6">IF($N73=0,IF($O73=0,O73,O73/$O73),O73/$N73)</f>
        <v>1</v>
      </c>
      <c r="P76" s="189" t="s">
        <v>39</v>
      </c>
      <c r="Q76" s="103">
        <f>P72</f>
        <v>0</v>
      </c>
      <c r="T76" s="124">
        <f>IF(OR(AND($N76=0,$N77=0),AND(O76=0,O77=0)),0,N76)</f>
        <v>0</v>
      </c>
      <c r="U76" s="53">
        <f>IF(OR(AND($N76=0,$N77=0),AND(O76=0,O77=0)),1,O76)</f>
        <v>1</v>
      </c>
      <c r="V76" s="53" t="s">
        <v>39</v>
      </c>
      <c r="W76" s="103">
        <f>Q74</f>
        <v>0</v>
      </c>
      <c r="AA76" s="51"/>
    </row>
    <row r="77" spans="1:27" ht="15.75" thickBot="1" x14ac:dyDescent="0.3">
      <c r="A77" s="50"/>
      <c r="B77" s="100">
        <f>B74</f>
        <v>0</v>
      </c>
      <c r="C77" s="101">
        <f>C74</f>
        <v>0</v>
      </c>
      <c r="D77" s="101" t="str">
        <f>D74</f>
        <v>\\</v>
      </c>
      <c r="E77" s="102">
        <f>D72</f>
        <v>0</v>
      </c>
      <c r="F77" s="2"/>
      <c r="G77" s="100">
        <f>IF(OR(AND($B76=0,$B77=0), AND(C76=0,C77=0)),0,B77)</f>
        <v>0</v>
      </c>
      <c r="H77" s="101">
        <f>IF(OR(AND($B76=0,$B77=0), AND(C76=0,C77=0)),0,C77)</f>
        <v>0</v>
      </c>
      <c r="I77" s="136" t="s">
        <v>39</v>
      </c>
      <c r="J77" s="102">
        <f>I72</f>
        <v>0</v>
      </c>
      <c r="L77" s="51"/>
      <c r="N77" s="100">
        <f>N74</f>
        <v>0</v>
      </c>
      <c r="O77" s="101">
        <f>O74</f>
        <v>3</v>
      </c>
      <c r="P77" s="190" t="s">
        <v>39</v>
      </c>
      <c r="Q77" s="102">
        <f>P72</f>
        <v>0</v>
      </c>
      <c r="T77" s="100">
        <f>IF(OR(AND($N76=0,$N77=0),AND(O76=0,O77=0)),0,N77)</f>
        <v>0</v>
      </c>
      <c r="U77" s="101">
        <f>IF(OR(AND($N76=0,$N77=0),AND(O76=0,O77=0)),0,O77)</f>
        <v>0</v>
      </c>
      <c r="V77" s="190" t="s">
        <v>39</v>
      </c>
      <c r="W77" s="102">
        <f>Q74</f>
        <v>0</v>
      </c>
      <c r="AA77" s="51"/>
    </row>
    <row r="78" spans="1:27" x14ac:dyDescent="0.25">
      <c r="A78" s="50"/>
      <c r="B78" s="98"/>
      <c r="C78" s="2"/>
      <c r="D78" s="2"/>
      <c r="E78" s="2"/>
      <c r="F78" s="2"/>
      <c r="G78" s="2"/>
      <c r="H78" s="2"/>
      <c r="L78" s="51"/>
      <c r="W78" s="51"/>
      <c r="AA78" s="51"/>
    </row>
    <row r="79" spans="1:27" ht="15.75" thickBot="1" x14ac:dyDescent="0.3">
      <c r="A79" s="50"/>
      <c r="B79" s="98"/>
      <c r="C79" s="2"/>
      <c r="D79" s="2"/>
      <c r="E79" s="2"/>
      <c r="F79" s="2"/>
      <c r="G79" s="2"/>
      <c r="H79" s="2"/>
      <c r="L79" s="51"/>
      <c r="W79" s="51"/>
      <c r="AA79" s="51"/>
    </row>
    <row r="80" spans="1:27" ht="15.75" thickBot="1" x14ac:dyDescent="0.3">
      <c r="A80" s="50"/>
      <c r="B80" s="105">
        <f>G76</f>
        <v>1</v>
      </c>
      <c r="C80" s="106" t="s">
        <v>30</v>
      </c>
      <c r="D80" s="106" t="s">
        <v>41</v>
      </c>
      <c r="E80" s="106">
        <f>H76</f>
        <v>-1.6666666666666667</v>
      </c>
      <c r="F80" s="106" t="s">
        <v>31</v>
      </c>
      <c r="G80" s="106" t="s">
        <v>32</v>
      </c>
      <c r="H80" s="107">
        <f>E73</f>
        <v>0</v>
      </c>
      <c r="L80" s="51"/>
      <c r="N80" s="105">
        <f>T76</f>
        <v>0</v>
      </c>
      <c r="O80" s="106" t="s">
        <v>30</v>
      </c>
      <c r="P80" s="106" t="s">
        <v>41</v>
      </c>
      <c r="Q80" s="106">
        <f>U76</f>
        <v>1</v>
      </c>
      <c r="R80" s="106" t="s">
        <v>31</v>
      </c>
      <c r="S80" s="106" t="s">
        <v>32</v>
      </c>
      <c r="T80" s="107">
        <f>Q73</f>
        <v>0</v>
      </c>
      <c r="W80" s="51"/>
      <c r="AA80" s="51"/>
    </row>
    <row r="81" spans="1:27" ht="15.75" thickBot="1" x14ac:dyDescent="0.3">
      <c r="A81" s="50"/>
      <c r="B81" s="98"/>
      <c r="C81" s="2"/>
      <c r="D81" s="2"/>
      <c r="E81" s="2"/>
      <c r="F81" s="2"/>
      <c r="G81" s="2"/>
      <c r="H81" s="2"/>
      <c r="L81" s="51"/>
      <c r="W81" s="51"/>
      <c r="AA81" s="51"/>
    </row>
    <row r="82" spans="1:27" ht="15.75" thickBot="1" x14ac:dyDescent="0.3">
      <c r="A82" s="50"/>
      <c r="B82" s="105">
        <f>B80</f>
        <v>1</v>
      </c>
      <c r="C82" s="106" t="str">
        <f>C80</f>
        <v>x</v>
      </c>
      <c r="D82" s="106" t="str">
        <f>G80</f>
        <v>=</v>
      </c>
      <c r="E82" s="106">
        <f>-E80</f>
        <v>1.6666666666666667</v>
      </c>
      <c r="F82" s="107" t="str">
        <f>F80</f>
        <v>y</v>
      </c>
      <c r="G82" s="2"/>
      <c r="H82" s="2"/>
      <c r="L82" s="51"/>
      <c r="N82" s="105">
        <f>N80</f>
        <v>0</v>
      </c>
      <c r="O82" s="106" t="str">
        <f>O80</f>
        <v>x</v>
      </c>
      <c r="P82" s="106" t="str">
        <f>S80</f>
        <v>=</v>
      </c>
      <c r="Q82" s="106">
        <f>-Q80</f>
        <v>-1</v>
      </c>
      <c r="R82" s="107" t="str">
        <f>R80</f>
        <v>y</v>
      </c>
      <c r="W82" s="51"/>
      <c r="AA82" s="51"/>
    </row>
    <row r="83" spans="1:27" x14ac:dyDescent="0.25">
      <c r="A83" s="50"/>
      <c r="B83" s="98"/>
      <c r="C83" s="2"/>
      <c r="D83" s="2"/>
      <c r="E83" s="2"/>
      <c r="F83" s="2"/>
      <c r="G83" s="2"/>
      <c r="H83" s="2"/>
      <c r="L83" s="51"/>
      <c r="W83" s="51"/>
      <c r="AA83" s="51"/>
    </row>
    <row r="84" spans="1:27" x14ac:dyDescent="0.25">
      <c r="A84" s="50"/>
      <c r="B84" s="98"/>
      <c r="C84" s="2"/>
      <c r="D84" s="2"/>
      <c r="E84" s="2"/>
      <c r="F84" s="2"/>
      <c r="G84" s="2"/>
      <c r="H84" s="2"/>
      <c r="L84" s="51"/>
      <c r="W84" s="51"/>
      <c r="AA84" s="51"/>
    </row>
    <row r="85" spans="1:27" ht="15.75" thickBot="1" x14ac:dyDescent="0.3">
      <c r="A85" s="50"/>
      <c r="B85" s="98"/>
      <c r="C85" s="2" t="s">
        <v>214</v>
      </c>
      <c r="D85" s="2"/>
      <c r="E85" s="2"/>
      <c r="F85" s="2"/>
      <c r="G85" s="2"/>
      <c r="H85" s="2"/>
      <c r="L85" s="51"/>
      <c r="O85" t="s">
        <v>300</v>
      </c>
      <c r="W85" s="51"/>
      <c r="AA85" s="51"/>
    </row>
    <row r="86" spans="1:27" x14ac:dyDescent="0.25">
      <c r="A86" s="50"/>
      <c r="B86" s="98"/>
      <c r="C86" s="606" t="s">
        <v>213</v>
      </c>
      <c r="D86" s="608" t="s">
        <v>32</v>
      </c>
      <c r="E86" s="16">
        <f>IF(OR(AND($B76=0,$B77=0), AND(C76=0,C77=0)),H76,E82)</f>
        <v>1.6666666666666667</v>
      </c>
      <c r="F86" s="2"/>
      <c r="G86" s="2"/>
      <c r="H86" s="2"/>
      <c r="L86" s="51"/>
      <c r="O86" s="606" t="s">
        <v>213</v>
      </c>
      <c r="P86" s="608" t="s">
        <v>32</v>
      </c>
      <c r="Q86" s="254">
        <f>IF(OR(AND($N76=0,$N77=0),AND(O76=0,O77=0)),U76,Q82)</f>
        <v>1</v>
      </c>
      <c r="T86" t="s">
        <v>301</v>
      </c>
      <c r="W86" s="51"/>
      <c r="AA86" s="51"/>
    </row>
    <row r="87" spans="1:27" ht="15.75" thickBot="1" x14ac:dyDescent="0.3">
      <c r="A87" s="50"/>
      <c r="B87" s="98"/>
      <c r="C87" s="607"/>
      <c r="D87" s="609"/>
      <c r="E87" s="19">
        <f>IF(OR(AND($B76=0,$B77=0), AND(C76=0,C77=0)),H77,1)</f>
        <v>1</v>
      </c>
      <c r="F87" s="2"/>
      <c r="G87" s="2"/>
      <c r="H87" s="2"/>
      <c r="L87" s="51"/>
      <c r="O87" s="607"/>
      <c r="P87" s="609"/>
      <c r="Q87" s="255">
        <f>IF(OR(AND($N76=0,$N77=0),AND(O76=0,O77=0)),U77,1)</f>
        <v>0</v>
      </c>
      <c r="W87" s="51"/>
      <c r="AA87" s="51"/>
    </row>
    <row r="88" spans="1:27" x14ac:dyDescent="0.25">
      <c r="A88" s="50"/>
      <c r="B88" s="50"/>
      <c r="L88" s="51"/>
      <c r="W88" s="51"/>
      <c r="AA88" s="51"/>
    </row>
    <row r="89" spans="1:27" ht="15.75" thickBot="1" x14ac:dyDescent="0.3">
      <c r="A89" s="50"/>
      <c r="B89" s="630"/>
      <c r="C89" s="631"/>
      <c r="D89" s="39"/>
      <c r="E89" s="39"/>
      <c r="F89" s="39"/>
      <c r="G89" s="39"/>
      <c r="H89" s="39"/>
      <c r="I89" s="39"/>
      <c r="J89" s="39"/>
      <c r="K89" s="39"/>
      <c r="L89" s="40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40"/>
      <c r="AA89" s="51"/>
    </row>
    <row r="90" spans="1:27" ht="15.75" thickBot="1" x14ac:dyDescent="0.3">
      <c r="A90" s="50"/>
      <c r="AA90" s="51"/>
    </row>
    <row r="91" spans="1:27" ht="16.5" thickBot="1" x14ac:dyDescent="0.3">
      <c r="A91" s="50"/>
      <c r="B91" s="452" t="s">
        <v>215</v>
      </c>
      <c r="C91" s="453"/>
      <c r="D91" s="453"/>
      <c r="E91" s="453"/>
      <c r="F91" s="453"/>
      <c r="G91" s="453"/>
      <c r="H91" s="453"/>
      <c r="I91" s="453"/>
      <c r="J91" s="453"/>
      <c r="K91" s="453"/>
      <c r="L91" s="453"/>
      <c r="M91" s="453"/>
      <c r="N91" s="453"/>
      <c r="O91" s="453"/>
      <c r="P91" s="453"/>
      <c r="Q91" s="453"/>
      <c r="R91" s="453"/>
      <c r="S91" s="453"/>
      <c r="T91" s="453"/>
      <c r="U91" s="453"/>
      <c r="V91" s="453"/>
      <c r="W91" s="453"/>
      <c r="X91" s="453"/>
      <c r="Y91" s="453"/>
      <c r="Z91" s="454"/>
      <c r="AA91" s="51"/>
    </row>
    <row r="92" spans="1:27" x14ac:dyDescent="0.25">
      <c r="A92" s="50"/>
      <c r="B92" s="47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9"/>
      <c r="AA92" s="51"/>
    </row>
    <row r="93" spans="1:27" ht="15.75" thickBot="1" x14ac:dyDescent="0.3">
      <c r="A93" s="50"/>
      <c r="B93" s="50"/>
      <c r="H93" s="2"/>
      <c r="Z93" s="51"/>
      <c r="AA93" s="51"/>
    </row>
    <row r="94" spans="1:27" ht="15" customHeight="1" thickBot="1" x14ac:dyDescent="0.3">
      <c r="A94" s="50"/>
      <c r="B94" s="50"/>
      <c r="C94" s="111" t="s">
        <v>216</v>
      </c>
      <c r="D94" s="112" t="s">
        <v>32</v>
      </c>
      <c r="E94" s="112" t="s">
        <v>217</v>
      </c>
      <c r="F94" s="112" t="s">
        <v>218</v>
      </c>
      <c r="G94" s="113" t="s">
        <v>219</v>
      </c>
      <c r="N94" s="47" t="s">
        <v>222</v>
      </c>
      <c r="O94" s="632" t="s">
        <v>221</v>
      </c>
      <c r="P94" s="632"/>
      <c r="Q94" s="48">
        <f>M10</f>
        <v>5</v>
      </c>
      <c r="R94" s="48"/>
      <c r="S94" s="48"/>
      <c r="T94" s="48"/>
      <c r="U94" s="48"/>
      <c r="V94" s="48"/>
      <c r="W94" s="48"/>
      <c r="X94" s="48"/>
      <c r="Y94" s="49"/>
      <c r="Z94" s="51"/>
      <c r="AA94" s="51"/>
    </row>
    <row r="95" spans="1:27" ht="15.75" customHeight="1" x14ac:dyDescent="0.25">
      <c r="A95" s="50"/>
      <c r="B95" s="50"/>
      <c r="N95" s="50"/>
      <c r="Y95" s="51"/>
      <c r="Z95" s="51"/>
      <c r="AA95" s="51"/>
    </row>
    <row r="96" spans="1:27" ht="15.75" thickBot="1" x14ac:dyDescent="0.3">
      <c r="A96" s="50"/>
      <c r="B96" s="50"/>
      <c r="N96" s="50"/>
      <c r="V96" s="2" t="s">
        <v>224</v>
      </c>
      <c r="W96" s="2"/>
      <c r="X96" s="2"/>
      <c r="Y96" s="51"/>
      <c r="Z96" s="51"/>
      <c r="AA96" s="51"/>
    </row>
    <row r="97" spans="1:27" ht="15.75" thickBot="1" x14ac:dyDescent="0.3">
      <c r="A97" s="50"/>
      <c r="B97" s="111" t="s">
        <v>216</v>
      </c>
      <c r="C97" s="112" t="s">
        <v>32</v>
      </c>
      <c r="D97" s="451" t="s">
        <v>217</v>
      </c>
      <c r="E97" s="451"/>
      <c r="F97" s="122" t="s">
        <v>229</v>
      </c>
      <c r="G97" s="451" t="s">
        <v>218</v>
      </c>
      <c r="H97" s="451"/>
      <c r="I97" s="122" t="s">
        <v>229</v>
      </c>
      <c r="J97" s="451" t="s">
        <v>219</v>
      </c>
      <c r="K97" s="532"/>
      <c r="N97" s="50"/>
      <c r="O97" s="628" t="s">
        <v>217</v>
      </c>
      <c r="P97" s="602" t="s">
        <v>32</v>
      </c>
      <c r="Q97" s="53">
        <f>E86</f>
        <v>1.6666666666666667</v>
      </c>
      <c r="R97" s="103">
        <f>Q86</f>
        <v>1</v>
      </c>
      <c r="Y97" s="51"/>
      <c r="Z97" s="51"/>
      <c r="AA97" s="51"/>
    </row>
    <row r="98" spans="1:27" ht="15.75" thickBot="1" x14ac:dyDescent="0.3">
      <c r="A98" s="50"/>
      <c r="B98" s="50"/>
      <c r="N98" s="50"/>
      <c r="O98" s="629"/>
      <c r="P98" s="603"/>
      <c r="Q98" s="101">
        <f>E87</f>
        <v>1</v>
      </c>
      <c r="R98" s="102">
        <f>Q87</f>
        <v>0</v>
      </c>
      <c r="V98" s="105" t="s">
        <v>225</v>
      </c>
      <c r="W98" s="107">
        <f>(Q97*R98)-(Q98*R97)</f>
        <v>-1</v>
      </c>
      <c r="X98" s="2"/>
      <c r="Y98" s="51"/>
      <c r="Z98" s="51"/>
      <c r="AA98" s="51"/>
    </row>
    <row r="99" spans="1:27" ht="15.75" thickBot="1" x14ac:dyDescent="0.3">
      <c r="A99" s="50"/>
      <c r="B99" s="50"/>
      <c r="N99" s="50"/>
      <c r="O99" s="205"/>
      <c r="P99" s="205"/>
      <c r="Q99" s="2"/>
      <c r="R99" s="2"/>
      <c r="V99" s="2"/>
      <c r="W99" s="2"/>
      <c r="X99" s="2"/>
      <c r="Y99" s="51"/>
      <c r="Z99" s="51"/>
      <c r="AA99" s="51"/>
    </row>
    <row r="100" spans="1:27" ht="15" customHeight="1" x14ac:dyDescent="0.25">
      <c r="A100" s="50"/>
      <c r="B100" s="628" t="s">
        <v>216</v>
      </c>
      <c r="C100" s="602" t="s">
        <v>32</v>
      </c>
      <c r="D100" s="53">
        <f>Q97</f>
        <v>1.6666666666666667</v>
      </c>
      <c r="E100" s="53">
        <f>R97</f>
        <v>1</v>
      </c>
      <c r="F100" s="604" t="s">
        <v>229</v>
      </c>
      <c r="G100" s="53">
        <f>Q103</f>
        <v>16807</v>
      </c>
      <c r="H100" s="53">
        <f>R103</f>
        <v>0</v>
      </c>
      <c r="I100" s="604" t="s">
        <v>229</v>
      </c>
      <c r="J100" s="53">
        <f>V111</f>
        <v>0</v>
      </c>
      <c r="K100" s="103">
        <f>W111</f>
        <v>1</v>
      </c>
      <c r="L100" s="2"/>
      <c r="N100" s="50"/>
      <c r="O100" s="628" t="s">
        <v>223</v>
      </c>
      <c r="P100" s="602" t="s">
        <v>32</v>
      </c>
      <c r="Q100" s="53">
        <f>E49</f>
        <v>7</v>
      </c>
      <c r="R100" s="103">
        <v>0</v>
      </c>
      <c r="V100" s="400" t="s">
        <v>227</v>
      </c>
      <c r="W100" s="53">
        <f>R98</f>
        <v>0</v>
      </c>
      <c r="X100" s="103">
        <f>Q98</f>
        <v>1</v>
      </c>
      <c r="Y100" s="51"/>
      <c r="Z100" s="51"/>
      <c r="AA100" s="51"/>
    </row>
    <row r="101" spans="1:27" ht="15.75" thickBot="1" x14ac:dyDescent="0.3">
      <c r="A101" s="50"/>
      <c r="B101" s="629"/>
      <c r="C101" s="603"/>
      <c r="D101" s="101">
        <f>Q98</f>
        <v>1</v>
      </c>
      <c r="E101" s="101">
        <f>R98</f>
        <v>0</v>
      </c>
      <c r="F101" s="605"/>
      <c r="G101" s="101">
        <f>Q104</f>
        <v>0</v>
      </c>
      <c r="H101" s="101">
        <f>R104</f>
        <v>1024</v>
      </c>
      <c r="I101" s="605"/>
      <c r="J101" s="101">
        <f>V112</f>
        <v>1</v>
      </c>
      <c r="K101" s="102">
        <f>W112</f>
        <v>-1.6666666666666667</v>
      </c>
      <c r="L101" s="2"/>
      <c r="N101" s="50"/>
      <c r="O101" s="629"/>
      <c r="P101" s="603"/>
      <c r="Q101" s="101">
        <f>0</f>
        <v>0</v>
      </c>
      <c r="R101" s="102">
        <f>E50</f>
        <v>4</v>
      </c>
      <c r="V101" s="402"/>
      <c r="W101" s="101">
        <f>R97</f>
        <v>1</v>
      </c>
      <c r="X101" s="102">
        <f>Q97</f>
        <v>1.6666666666666667</v>
      </c>
      <c r="Y101" s="51"/>
      <c r="Z101" s="51"/>
      <c r="AA101" s="51"/>
    </row>
    <row r="102" spans="1:27" ht="15.75" thickBot="1" x14ac:dyDescent="0.3">
      <c r="A102" s="50"/>
      <c r="B102" s="98"/>
      <c r="C102" s="2"/>
      <c r="D102" s="2"/>
      <c r="E102" s="2"/>
      <c r="F102" s="2"/>
      <c r="G102" s="2"/>
      <c r="H102" s="2"/>
      <c r="I102" s="2"/>
      <c r="J102" s="2"/>
      <c r="K102" s="2"/>
      <c r="L102" s="2"/>
      <c r="N102" s="50"/>
      <c r="O102" s="205"/>
      <c r="P102" s="205"/>
      <c r="Q102" s="2"/>
      <c r="R102" s="2"/>
      <c r="V102" s="2"/>
      <c r="W102" s="2"/>
      <c r="X102" s="2"/>
      <c r="Y102" s="51"/>
      <c r="Z102" s="51"/>
      <c r="AA102" s="51"/>
    </row>
    <row r="103" spans="1:27" ht="15.75" thickBot="1" x14ac:dyDescent="0.3">
      <c r="A103" s="50"/>
      <c r="B103" s="98"/>
      <c r="C103" s="2"/>
      <c r="D103" s="2"/>
      <c r="E103" s="2"/>
      <c r="F103" s="2"/>
      <c r="G103" s="2"/>
      <c r="H103" s="2"/>
      <c r="I103" s="2"/>
      <c r="J103" s="2"/>
      <c r="K103" s="2"/>
      <c r="L103" s="2"/>
      <c r="N103" s="50"/>
      <c r="O103" s="628" t="s">
        <v>220</v>
      </c>
      <c r="P103" s="602" t="s">
        <v>32</v>
      </c>
      <c r="Q103" s="53">
        <f>Q100^$Q94</f>
        <v>16807</v>
      </c>
      <c r="R103" s="103">
        <v>0</v>
      </c>
      <c r="V103" s="549" t="s">
        <v>304</v>
      </c>
      <c r="W103" s="551"/>
      <c r="X103" s="2"/>
      <c r="Y103" s="51"/>
      <c r="Z103" s="51"/>
      <c r="AA103" s="51"/>
    </row>
    <row r="104" spans="1:27" ht="15.75" thickBot="1" x14ac:dyDescent="0.3">
      <c r="A104" s="50"/>
      <c r="B104" s="628" t="s">
        <v>216</v>
      </c>
      <c r="C104" s="602" t="s">
        <v>32</v>
      </c>
      <c r="D104" s="53">
        <f>(D100*G100)+(E100*G101)</f>
        <v>28011.666666666668</v>
      </c>
      <c r="E104" s="53">
        <f>(D100*H100)+(E100*H101)</f>
        <v>1024</v>
      </c>
      <c r="F104" s="604" t="s">
        <v>229</v>
      </c>
      <c r="G104" s="53">
        <f>J100</f>
        <v>0</v>
      </c>
      <c r="H104" s="103">
        <f>K100</f>
        <v>1</v>
      </c>
      <c r="I104" s="2"/>
      <c r="J104" s="2"/>
      <c r="K104" s="2"/>
      <c r="L104" s="2"/>
      <c r="N104" s="50"/>
      <c r="O104" s="629"/>
      <c r="P104" s="603"/>
      <c r="Q104" s="101">
        <v>0</v>
      </c>
      <c r="R104" s="102">
        <f>R101^Q94</f>
        <v>1024</v>
      </c>
      <c r="V104" s="124">
        <f>W100</f>
        <v>0</v>
      </c>
      <c r="W104" s="103">
        <f>-X100</f>
        <v>-1</v>
      </c>
      <c r="X104" s="2"/>
      <c r="Y104" s="51"/>
      <c r="Z104" s="51"/>
      <c r="AA104" s="51"/>
    </row>
    <row r="105" spans="1:27" ht="15.75" thickBot="1" x14ac:dyDescent="0.3">
      <c r="A105" s="50"/>
      <c r="B105" s="629"/>
      <c r="C105" s="603"/>
      <c r="D105" s="101">
        <f>(D101*G100)+(E101*G101)</f>
        <v>16807</v>
      </c>
      <c r="E105" s="101">
        <f>(D101*H100)+(E101*H101)</f>
        <v>0</v>
      </c>
      <c r="F105" s="603"/>
      <c r="G105" s="101">
        <f>J101</f>
        <v>1</v>
      </c>
      <c r="H105" s="102">
        <f>K101</f>
        <v>-1.6666666666666667</v>
      </c>
      <c r="I105" s="2"/>
      <c r="J105" s="2"/>
      <c r="K105" s="2"/>
      <c r="L105" s="2"/>
      <c r="N105" s="50"/>
      <c r="V105" s="100">
        <f>-W101</f>
        <v>-1</v>
      </c>
      <c r="W105" s="102">
        <f>X101</f>
        <v>1.6666666666666667</v>
      </c>
      <c r="X105" s="2"/>
      <c r="Y105" s="51"/>
      <c r="Z105" s="51"/>
      <c r="AA105" s="51"/>
    </row>
    <row r="106" spans="1:27" ht="15.75" thickBot="1" x14ac:dyDescent="0.3">
      <c r="A106" s="50"/>
      <c r="B106" s="98"/>
      <c r="C106" s="2"/>
      <c r="D106" s="2"/>
      <c r="E106" s="2"/>
      <c r="F106" s="2"/>
      <c r="G106" s="2"/>
      <c r="H106" s="2"/>
      <c r="I106" s="2"/>
      <c r="J106" s="2"/>
      <c r="K106" s="2"/>
      <c r="L106" s="2"/>
      <c r="N106" s="50"/>
      <c r="V106" s="2"/>
      <c r="W106" s="2"/>
      <c r="X106" s="2"/>
      <c r="Y106" s="51"/>
      <c r="Z106" s="51"/>
      <c r="AA106" s="51"/>
    </row>
    <row r="107" spans="1:27" ht="15.75" thickBot="1" x14ac:dyDescent="0.3">
      <c r="A107" s="50"/>
      <c r="B107" s="98"/>
      <c r="C107" s="2"/>
      <c r="D107" s="2"/>
      <c r="E107" s="2"/>
      <c r="F107" s="2"/>
      <c r="G107" s="2"/>
      <c r="H107" s="2"/>
      <c r="I107" s="2"/>
      <c r="J107" s="2"/>
      <c r="K107" s="2"/>
      <c r="L107" s="2"/>
      <c r="N107" s="50"/>
      <c r="V107" s="400" t="s">
        <v>226</v>
      </c>
      <c r="W107" s="124">
        <f>V104</f>
        <v>0</v>
      </c>
      <c r="X107" s="103">
        <f>V105</f>
        <v>-1</v>
      </c>
      <c r="Y107" s="51"/>
      <c r="Z107" s="51"/>
      <c r="AA107" s="51"/>
    </row>
    <row r="108" spans="1:27" ht="15.75" thickBot="1" x14ac:dyDescent="0.3">
      <c r="A108" s="50"/>
      <c r="B108" s="606" t="s">
        <v>216</v>
      </c>
      <c r="C108" s="608" t="s">
        <v>32</v>
      </c>
      <c r="D108" s="15">
        <f>(D104*G104)+(E104*G105)</f>
        <v>1024</v>
      </c>
      <c r="E108" s="16">
        <f>(D104*H104)+(E104*H105)</f>
        <v>26305</v>
      </c>
      <c r="F108" s="119" t="s">
        <v>160</v>
      </c>
      <c r="G108" s="119" t="s">
        <v>270</v>
      </c>
      <c r="H108" s="2"/>
      <c r="I108" s="2"/>
      <c r="J108" s="2"/>
      <c r="K108" s="2"/>
      <c r="L108" s="2"/>
      <c r="N108" s="50"/>
      <c r="V108" s="402"/>
      <c r="W108" s="100">
        <f>W104</f>
        <v>-1</v>
      </c>
      <c r="X108" s="102">
        <f>W105</f>
        <v>1.6666666666666667</v>
      </c>
      <c r="Y108" s="51"/>
      <c r="Z108" s="51"/>
      <c r="AA108" s="51"/>
    </row>
    <row r="109" spans="1:27" ht="15.75" thickBot="1" x14ac:dyDescent="0.3">
      <c r="A109" s="50"/>
      <c r="B109" s="607"/>
      <c r="C109" s="609"/>
      <c r="D109" s="18">
        <f>(D105*G104)+(E105*G105)</f>
        <v>0</v>
      </c>
      <c r="E109" s="19">
        <f>(D105*H104)+(E105*H105)</f>
        <v>16807</v>
      </c>
      <c r="F109" s="2"/>
      <c r="G109" s="2"/>
      <c r="H109" s="2"/>
      <c r="I109" s="2"/>
      <c r="J109" s="2"/>
      <c r="K109" s="2"/>
      <c r="L109" s="2"/>
      <c r="N109" s="50"/>
      <c r="V109" s="2"/>
      <c r="W109" s="2"/>
      <c r="X109" s="2"/>
      <c r="Y109" s="51"/>
      <c r="Z109" s="51"/>
      <c r="AA109" s="51"/>
    </row>
    <row r="110" spans="1:27" ht="15.75" thickBot="1" x14ac:dyDescent="0.3">
      <c r="A110" s="50"/>
      <c r="B110" s="50"/>
      <c r="N110" s="50"/>
      <c r="V110" s="549" t="s">
        <v>305</v>
      </c>
      <c r="W110" s="551"/>
      <c r="X110" s="2"/>
      <c r="Y110" s="51"/>
      <c r="Z110" s="51"/>
      <c r="AA110" s="51"/>
    </row>
    <row r="111" spans="1:27" x14ac:dyDescent="0.25">
      <c r="A111" s="50"/>
      <c r="B111" s="50"/>
      <c r="N111" s="50"/>
      <c r="V111" s="124">
        <f>V104/W98</f>
        <v>0</v>
      </c>
      <c r="W111" s="103">
        <f>X107/W98</f>
        <v>1</v>
      </c>
      <c r="X111" s="2"/>
      <c r="Y111" s="51"/>
      <c r="Z111" s="51"/>
      <c r="AA111" s="51"/>
    </row>
    <row r="112" spans="1:27" ht="15.75" thickBot="1" x14ac:dyDescent="0.3">
      <c r="A112" s="50"/>
      <c r="B112" s="50"/>
      <c r="N112" s="50"/>
      <c r="V112" s="100">
        <f>W108/W98</f>
        <v>1</v>
      </c>
      <c r="W112" s="102">
        <f>X108/W98</f>
        <v>-1.6666666666666667</v>
      </c>
      <c r="X112" s="2"/>
      <c r="Y112" s="51"/>
      <c r="Z112" s="51"/>
      <c r="AA112" s="51"/>
    </row>
    <row r="113" spans="1:27" ht="15.75" thickBot="1" x14ac:dyDescent="0.3">
      <c r="A113" s="50"/>
      <c r="B113" s="50"/>
      <c r="N113" s="52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40"/>
      <c r="Z113" s="51"/>
      <c r="AA113" s="51"/>
    </row>
    <row r="114" spans="1:27" x14ac:dyDescent="0.25">
      <c r="A114" s="50"/>
      <c r="B114" s="50"/>
      <c r="Z114" s="51"/>
      <c r="AA114" s="51"/>
    </row>
    <row r="115" spans="1:27" ht="15.75" thickBot="1" x14ac:dyDescent="0.3">
      <c r="A115" s="50"/>
      <c r="B115" s="52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40"/>
      <c r="AA115" s="51"/>
    </row>
    <row r="116" spans="1:27" x14ac:dyDescent="0.25">
      <c r="A116" s="50"/>
      <c r="AA116" s="51"/>
    </row>
    <row r="117" spans="1:27" x14ac:dyDescent="0.25">
      <c r="A117" s="50"/>
      <c r="AA117" s="51"/>
    </row>
    <row r="118" spans="1:27" ht="15.75" thickBot="1" x14ac:dyDescent="0.3">
      <c r="A118" s="52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40"/>
    </row>
    <row r="119" spans="1:27" x14ac:dyDescent="0.25"/>
  </sheetData>
  <mergeCells count="80">
    <mergeCell ref="N54:O54"/>
    <mergeCell ref="F34:F35"/>
    <mergeCell ref="H37:H38"/>
    <mergeCell ref="I34:I35"/>
    <mergeCell ref="Q54:W54"/>
    <mergeCell ref="J34:J35"/>
    <mergeCell ref="I37:I38"/>
    <mergeCell ref="F40:F41"/>
    <mergeCell ref="H59:H60"/>
    <mergeCell ref="F62:F63"/>
    <mergeCell ref="G62:G63"/>
    <mergeCell ref="D62:D63"/>
    <mergeCell ref="D56:D57"/>
    <mergeCell ref="E56:E57"/>
    <mergeCell ref="D59:D60"/>
    <mergeCell ref="G59:G60"/>
    <mergeCell ref="S62:S63"/>
    <mergeCell ref="U56:U57"/>
    <mergeCell ref="V56:V57"/>
    <mergeCell ref="P59:P60"/>
    <mergeCell ref="T59:T60"/>
    <mergeCell ref="U59:U60"/>
    <mergeCell ref="T62:T63"/>
    <mergeCell ref="P56:P57"/>
    <mergeCell ref="Q56:Q57"/>
    <mergeCell ref="V110:W110"/>
    <mergeCell ref="O100:O101"/>
    <mergeCell ref="O103:O104"/>
    <mergeCell ref="B89:C89"/>
    <mergeCell ref="I100:I101"/>
    <mergeCell ref="D97:E97"/>
    <mergeCell ref="G97:H97"/>
    <mergeCell ref="B91:Z91"/>
    <mergeCell ref="O94:P94"/>
    <mergeCell ref="O97:O98"/>
    <mergeCell ref="P97:P98"/>
    <mergeCell ref="P100:P101"/>
    <mergeCell ref="J97:K97"/>
    <mergeCell ref="C108:C109"/>
    <mergeCell ref="B100:B101"/>
    <mergeCell ref="B104:B105"/>
    <mergeCell ref="B108:B109"/>
    <mergeCell ref="V103:W103"/>
    <mergeCell ref="V100:V101"/>
    <mergeCell ref="V107:V108"/>
    <mergeCell ref="A1:AA1"/>
    <mergeCell ref="M4:N4"/>
    <mergeCell ref="M9:N9"/>
    <mergeCell ref="M10:N10"/>
    <mergeCell ref="M13:N13"/>
    <mergeCell ref="B23:H23"/>
    <mergeCell ref="B52:W52"/>
    <mergeCell ref="A17:AA17"/>
    <mergeCell ref="C20:C21"/>
    <mergeCell ref="D20:D21"/>
    <mergeCell ref="C30:D30"/>
    <mergeCell ref="G30:H30"/>
    <mergeCell ref="B32:R32"/>
    <mergeCell ref="C86:C87"/>
    <mergeCell ref="D86:D87"/>
    <mergeCell ref="O86:O87"/>
    <mergeCell ref="P86:P87"/>
    <mergeCell ref="F54:L54"/>
    <mergeCell ref="C54:D54"/>
    <mergeCell ref="H62:H63"/>
    <mergeCell ref="E34:E35"/>
    <mergeCell ref="E37:E38"/>
    <mergeCell ref="E40:E41"/>
    <mergeCell ref="K49:R49"/>
    <mergeCell ref="J56:J57"/>
    <mergeCell ref="I59:I60"/>
    <mergeCell ref="H56:H57"/>
    <mergeCell ref="I56:I57"/>
    <mergeCell ref="C100:C101"/>
    <mergeCell ref="C104:C105"/>
    <mergeCell ref="F104:F105"/>
    <mergeCell ref="P62:P63"/>
    <mergeCell ref="R62:R63"/>
    <mergeCell ref="P103:P104"/>
    <mergeCell ref="F100:F101"/>
  </mergeCells>
  <phoneticPr fontId="16" type="noConversion"/>
  <hyperlinks>
    <hyperlink ref="D70" r:id="rId1" xr:uid="{F944E8E6-A2D0-402D-B2E7-8EF565EEF91C}"/>
    <hyperlink ref="D71" r:id="rId2" xr:uid="{9499C690-4568-4F4F-81A7-AFF4FFD0973A}"/>
    <hyperlink ref="D73" r:id="rId3" xr:uid="{392C2D22-70FE-4568-9CC7-BD0209D443D7}"/>
    <hyperlink ref="D74" r:id="rId4" xr:uid="{6AD81784-0FD3-4910-A148-A68A9582E1E5}"/>
    <hyperlink ref="P71" r:id="rId5" xr:uid="{19307ED0-DECE-4327-945E-64968A7DC3B2}"/>
    <hyperlink ref="V77" r:id="rId6" xr:uid="{4E273456-D483-4C38-BC1F-C7AE2643C99C}"/>
    <hyperlink ref="I76" r:id="rId7" xr:uid="{D4A3B284-75D6-40C7-BD33-7143B1C783E4}"/>
    <hyperlink ref="I77" r:id="rId8" xr:uid="{8B54264A-9C4F-44E3-B039-02115CE84809}"/>
  </hyperlinks>
  <pageMargins left="0.7" right="0.7" top="0.75" bottom="0.75" header="0.3" footer="0.3"/>
  <drawing r:id="rId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E3E4E6A29DE5428D24A6CFE2279DFD" ma:contentTypeVersion="5" ma:contentTypeDescription="Create a new document." ma:contentTypeScope="" ma:versionID="802ca8a2dc645ce4121392639b961d46">
  <xsd:schema xmlns:xsd="http://www.w3.org/2001/XMLSchema" xmlns:xs="http://www.w3.org/2001/XMLSchema" xmlns:p="http://schemas.microsoft.com/office/2006/metadata/properties" xmlns:ns3="cc4c7e8b-1ed6-4fe7-9cf6-e438cb9d88f2" targetNamespace="http://schemas.microsoft.com/office/2006/metadata/properties" ma:root="true" ma:fieldsID="de48298d9ad6e78f93a85ae2c84c3639" ns3:_="">
    <xsd:import namespace="cc4c7e8b-1ed6-4fe7-9cf6-e438cb9d88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4c7e8b-1ed6-4fe7-9cf6-e438cb9d88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c4c7e8b-1ed6-4fe7-9cf6-e438cb9d88f2" xsi:nil="true"/>
  </documentManagement>
</p:properties>
</file>

<file path=customXml/itemProps1.xml><?xml version="1.0" encoding="utf-8"?>
<ds:datastoreItem xmlns:ds="http://schemas.openxmlformats.org/officeDocument/2006/customXml" ds:itemID="{284EA9FE-98F0-40ED-B09E-1BD35861B0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4c7e8b-1ed6-4fe7-9cf6-e438cb9d88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F446BF-08B3-4E2F-A220-EF15F04DF9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B17DC9-4B12-4126-8A97-9F745E4576D7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cc4c7e8b-1ed6-4fe7-9cf6-e438cb9d88f2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Personal Info</vt:lpstr>
      <vt:lpstr>Determinant</vt:lpstr>
      <vt:lpstr>Inverse</vt:lpstr>
      <vt:lpstr>Row operations</vt:lpstr>
      <vt:lpstr>LU Decomposition(Dolittle)</vt:lpstr>
      <vt:lpstr>LU Decomposition(Crout)</vt:lpstr>
      <vt:lpstr>Iterative Approaches</vt:lpstr>
      <vt:lpstr>Solvable|Insolvable</vt:lpstr>
      <vt:lpstr>Large Power Matrices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Makhun Lokeshav Anand</dc:creator>
  <cp:lastModifiedBy>Makhun Lokeshav Anand</cp:lastModifiedBy>
  <dcterms:created xsi:type="dcterms:W3CDTF">2025-09-08T17:55:53Z</dcterms:created>
  <dcterms:modified xsi:type="dcterms:W3CDTF">2026-05-03T16:44:38Z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0x01010007E3E4E6A29DE5428D24A6CFE2279DFD</vt:lpwstr>
  </property>
</Properties>
</file>